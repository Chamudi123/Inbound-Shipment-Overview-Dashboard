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ta.analysis_fitsex\Desktop\Dashboards\Inbound Shipment Overview Dashboard\"/>
    </mc:Choice>
  </mc:AlternateContent>
  <xr:revisionPtr revIDLastSave="0" documentId="13_ncr:1_{87FCB55C-43F4-485A-B5D3-50A2675B1705}" xr6:coauthVersionLast="47" xr6:coauthVersionMax="47" xr10:uidLastSave="{00000000-0000-0000-0000-000000000000}"/>
  <bookViews>
    <workbookView xWindow="0" yWindow="0" windowWidth="19200" windowHeight="10200" xr2:uid="{00000000-000D-0000-FFFF-FFFF00000000}"/>
  </bookViews>
  <sheets>
    <sheet name="Dashboard" sheetId="4" r:id="rId1"/>
    <sheet name="Table1" sheetId="2" state="hidden" r:id="rId2"/>
    <sheet name="Pivot_Data" sheetId="3" state="hidden" r:id="rId3"/>
  </sheets>
  <definedNames>
    <definedName name="_xlchart.v1.0" hidden="1">Table1!$D$1</definedName>
    <definedName name="_xlchart.v1.1" hidden="1">Table1!$D$2:$D$151</definedName>
    <definedName name="_xlchart.v1.2" hidden="1">Table1!$K$1</definedName>
    <definedName name="_xlchart.v1.3" hidden="1">Table1!$K$2:$K$151</definedName>
    <definedName name="_xlchart.v1.4" hidden="1">Table1!$M$1</definedName>
    <definedName name="_xlchart.v1.5" hidden="1">Table1!$M$2:$M$151</definedName>
    <definedName name="_xlchart.v1.6" hidden="1">Table1!$N$1</definedName>
    <definedName name="_xlchart.v1.7" hidden="1">Table1!$N$2:$N$151</definedName>
    <definedName name="_xlchart.v1.8" hidden="1">Table1!$O$1</definedName>
    <definedName name="_xlchart.v1.9" hidden="1">Table1!$O$2:$O$151</definedName>
    <definedName name="ExternalData_1" localSheetId="1" hidden="1">Table1!$A$1:$Q$151</definedName>
    <definedName name="_xlnm.Print_Area" localSheetId="0">Dashboard!$A$1:$Q$120</definedName>
  </definedNames>
  <calcPr calcId="191029"/>
  <pivotCaches>
    <pivotCache cacheId="0" r:id="rId4"/>
    <pivotCache cacheId="1" r:id="rId5"/>
    <pivotCache cacheId="2" r:id="rId6"/>
  </pivotCaches>
  <extLst>
    <ext xmlns:x15="http://schemas.microsoft.com/office/spreadsheetml/2010/11/main" uri="{841E416B-1EF1-43b6-AB56-02D37102CBD5}">
      <x15:pivotCaches>
        <pivotCache cacheId="4" r:id="rId7"/>
        <pivotCache cacheId="5" r:id="rId8"/>
        <pivotCache cacheId="6" r:id="rId9"/>
        <pivotCache cacheId="7" r:id="rId10"/>
        <pivotCache cacheId="8" r:id="rId11"/>
        <pivotCache cacheId="9" r:id="rId12"/>
        <pivotCache cacheId="15" r:id="rId13"/>
      </x15:pivotCaches>
    </ext>
    <ext xmlns:x15="http://schemas.microsoft.com/office/spreadsheetml/2010/11/main" uri="{983426D0-5260-488c-9760-48F4B6AC55F4}">
      <x15:pivotTableReferences>
        <x15:pivotTableReference r:id="rId14"/>
        <x15:pivotTableReference r:id="rId15"/>
        <x15:pivotTableReference r:id="rId16"/>
        <x15:pivotTableReference r:id="rId17"/>
        <x15:pivotTableReference r:id="rId18"/>
        <x15:pivotTableReference r:id="rId19"/>
        <x15:pivotTableReference r:id="rId20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_86240379-4c55-42d8-bc8c-71f69c6caa8b" name="Table1" connection="Query - 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EF99FB-2410-4D0D-85BD-D28BA8F0F3C4}" keepAlive="1" name="ModelConnection_ExternalData_1" description="Data Model" type="5" refreshedVersion="8" minRefreshableVersion="5" saveData="1">
    <dbPr connection="Data Model Connection" command="Table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1CEA46C-4752-4218-8B1A-42A35C582ED8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fc7f85ed-ec89-4ec4-8015-f27e736c7de8"/>
      </ext>
    </extLst>
  </connection>
  <connection id="3" xr16:uid="{5603D2EA-819E-466E-9DD0-432F6B8A8F9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1].[HS Invalid].&amp;[1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<sst xmlns="http://schemas.openxmlformats.org/spreadsheetml/2006/main" count="1350" uniqueCount="244">
  <si>
    <t>Origin</t>
  </si>
  <si>
    <t>HAWB</t>
  </si>
  <si>
    <t>Pcs</t>
  </si>
  <si>
    <t>Weight_KG</t>
  </si>
  <si>
    <t>Shipper</t>
  </si>
  <si>
    <t>Dest</t>
  </si>
  <si>
    <t>Bill_Type</t>
  </si>
  <si>
    <t>Consignee</t>
  </si>
  <si>
    <t>Description</t>
  </si>
  <si>
    <t>HS_Code</t>
  </si>
  <si>
    <t>Declared_Value_USD</t>
  </si>
  <si>
    <t>CN</t>
  </si>
  <si>
    <t>HAWB00002</t>
  </si>
  <si>
    <t>Supplier 1</t>
  </si>
  <si>
    <t>LK</t>
  </si>
  <si>
    <t>F/C</t>
  </si>
  <si>
    <t>ABC Apparel Pvt Ltd</t>
  </si>
  <si>
    <t>FABRIC</t>
  </si>
  <si>
    <t>TH</t>
  </si>
  <si>
    <t>HAWB00003</t>
  </si>
  <si>
    <t>Supplier 9</t>
  </si>
  <si>
    <t>NYLON FABRIC</t>
  </si>
  <si>
    <t>HAWB00005</t>
  </si>
  <si>
    <t>Supplier 4</t>
  </si>
  <si>
    <t>P/P</t>
  </si>
  <si>
    <t>VN</t>
  </si>
  <si>
    <t>HAWB00008</t>
  </si>
  <si>
    <t>Supplier 6</t>
  </si>
  <si>
    <t>Mega Industries Ltd</t>
  </si>
  <si>
    <t>WOVEN SATIN FABRIC</t>
  </si>
  <si>
    <t>IN</t>
  </si>
  <si>
    <t>HAWB00009</t>
  </si>
  <si>
    <t>Supplier 2</t>
  </si>
  <si>
    <t>LACE</t>
  </si>
  <si>
    <t>HAWB00010</t>
  </si>
  <si>
    <t>Supplier 13</t>
  </si>
  <si>
    <t>HAWB00011</t>
  </si>
  <si>
    <t>Supplier 19</t>
  </si>
  <si>
    <t>ELASTIC</t>
  </si>
  <si>
    <t>HAWB00012</t>
  </si>
  <si>
    <t>Supplier 5</t>
  </si>
  <si>
    <t>Urban Living Ltd</t>
  </si>
  <si>
    <t>KNIT FABRIC</t>
  </si>
  <si>
    <t>HAWB00014</t>
  </si>
  <si>
    <t>Supplier 10</t>
  </si>
  <si>
    <t>FOAM CUP</t>
  </si>
  <si>
    <t>HAWB00015</t>
  </si>
  <si>
    <t>HAWB00018</t>
  </si>
  <si>
    <t>Supplier 18</t>
  </si>
  <si>
    <t>ELASTIC TAPE</t>
  </si>
  <si>
    <t>HAWB00019</t>
  </si>
  <si>
    <t>Supplier 12</t>
  </si>
  <si>
    <t>HAWB00020</t>
  </si>
  <si>
    <t>Supplier 8</t>
  </si>
  <si>
    <t>HAWB00021</t>
  </si>
  <si>
    <t>HAWB00022</t>
  </si>
  <si>
    <t>Supplier 14</t>
  </si>
  <si>
    <t>HAWB00023</t>
  </si>
  <si>
    <t>HAWB00024</t>
  </si>
  <si>
    <t>HAWB00025</t>
  </si>
  <si>
    <t>HAWB00027</t>
  </si>
  <si>
    <t>Supplier 15</t>
  </si>
  <si>
    <t>HAWB00031</t>
  </si>
  <si>
    <t>HAWB00036</t>
  </si>
  <si>
    <t>Supplier 11</t>
  </si>
  <si>
    <t>HAWB00037</t>
  </si>
  <si>
    <t>HAWB00038</t>
  </si>
  <si>
    <t>HAWB00039</t>
  </si>
  <si>
    <t>HAWB00041</t>
  </si>
  <si>
    <t>HAWB00044</t>
  </si>
  <si>
    <t>Supplier 3</t>
  </si>
  <si>
    <t>HAWB00049</t>
  </si>
  <si>
    <t>HAWB00050</t>
  </si>
  <si>
    <t>HAWB00051</t>
  </si>
  <si>
    <t>Supplier 20</t>
  </si>
  <si>
    <t>HAWB00053</t>
  </si>
  <si>
    <t>HAWB00054</t>
  </si>
  <si>
    <t>Supplier 16</t>
  </si>
  <si>
    <t>HAWB00055</t>
  </si>
  <si>
    <t>Supplier 17</t>
  </si>
  <si>
    <t>HAWB00056</t>
  </si>
  <si>
    <t>HAWB00058</t>
  </si>
  <si>
    <t>HAWB00059</t>
  </si>
  <si>
    <t>HAWB00062</t>
  </si>
  <si>
    <t>HAWB00063</t>
  </si>
  <si>
    <t>HAWB00064</t>
  </si>
  <si>
    <t>HAWB00065</t>
  </si>
  <si>
    <t>HAWB00066</t>
  </si>
  <si>
    <t>HAWB00067</t>
  </si>
  <si>
    <t>HAWB00068</t>
  </si>
  <si>
    <t>HAWB00070</t>
  </si>
  <si>
    <t>HAWB00071</t>
  </si>
  <si>
    <t>LABEL</t>
  </si>
  <si>
    <t>HAWB00072</t>
  </si>
  <si>
    <t>HAWB00073</t>
  </si>
  <si>
    <t>HAWB00074</t>
  </si>
  <si>
    <t>Supplier 7</t>
  </si>
  <si>
    <t>HAWB00076</t>
  </si>
  <si>
    <t>HAWB00077</t>
  </si>
  <si>
    <t>HAWB00078</t>
  </si>
  <si>
    <t>HAWB00079</t>
  </si>
  <si>
    <t>HAWB00080</t>
  </si>
  <si>
    <t>HAWB00082</t>
  </si>
  <si>
    <t>HAWB00084</t>
  </si>
  <si>
    <t>HAWB00085</t>
  </si>
  <si>
    <t>HAWB00086</t>
  </si>
  <si>
    <t>HAWB00087</t>
  </si>
  <si>
    <t>HAWB00089</t>
  </si>
  <si>
    <t>HAWB00090</t>
  </si>
  <si>
    <t>HAWB00093</t>
  </si>
  <si>
    <t>HAWB00094</t>
  </si>
  <si>
    <t>HAWB00095</t>
  </si>
  <si>
    <t>HAWB00096</t>
  </si>
  <si>
    <t>HAWB00097</t>
  </si>
  <si>
    <t>HAWB00098</t>
  </si>
  <si>
    <t>HAWB00099</t>
  </si>
  <si>
    <t>HAWB00101</t>
  </si>
  <si>
    <t>HAWB00102</t>
  </si>
  <si>
    <t>HAWB00105</t>
  </si>
  <si>
    <t>HAWB00106</t>
  </si>
  <si>
    <t>HAWB00107</t>
  </si>
  <si>
    <t>HAWB00108</t>
  </si>
  <si>
    <t>HAWB00109</t>
  </si>
  <si>
    <t>HAWB00111</t>
  </si>
  <si>
    <t>HAWB00113</t>
  </si>
  <si>
    <t>HAWB00116</t>
  </si>
  <si>
    <t>HAWB00117</t>
  </si>
  <si>
    <t>HAWB00119</t>
  </si>
  <si>
    <t>HAWB00120</t>
  </si>
  <si>
    <t>HAWB00121</t>
  </si>
  <si>
    <t>HAWB00122</t>
  </si>
  <si>
    <t>HAWB00123</t>
  </si>
  <si>
    <t>HAWB00125</t>
  </si>
  <si>
    <t>HAWB00126</t>
  </si>
  <si>
    <t>HAWB00128</t>
  </si>
  <si>
    <t>HAWB00129</t>
  </si>
  <si>
    <t>HAWB00130</t>
  </si>
  <si>
    <t>HAWB00133</t>
  </si>
  <si>
    <t>HAWB00134</t>
  </si>
  <si>
    <t>HAWB00137</t>
  </si>
  <si>
    <t>HAWB00138</t>
  </si>
  <si>
    <t>HAWB00139</t>
  </si>
  <si>
    <t>HAWB00142</t>
  </si>
  <si>
    <t>HAWB00143</t>
  </si>
  <si>
    <t>HAWB00144</t>
  </si>
  <si>
    <t>HAWB00145</t>
  </si>
  <si>
    <t>HAWB00146</t>
  </si>
  <si>
    <t>HAWB00147</t>
  </si>
  <si>
    <t>HAWB00148</t>
  </si>
  <si>
    <t>HAWB00149</t>
  </si>
  <si>
    <t>HAWB00001</t>
  </si>
  <si>
    <t>RUBBER GASKET</t>
  </si>
  <si>
    <t>401693</t>
  </si>
  <si>
    <t>HAWB00004</t>
  </si>
  <si>
    <t>INJECTION PIPE</t>
  </si>
  <si>
    <t>391721</t>
  </si>
  <si>
    <t>HAWB00006</t>
  </si>
  <si>
    <t>WALL LAMP</t>
  </si>
  <si>
    <t>940511</t>
  </si>
  <si>
    <t>HAWB00007</t>
  </si>
  <si>
    <t>HAWB00013</t>
  </si>
  <si>
    <t>HAWB00016</t>
  </si>
  <si>
    <t>DISPLAY MODULE</t>
  </si>
  <si>
    <t>852859</t>
  </si>
  <si>
    <t>HAWB00017</t>
  </si>
  <si>
    <t>HAWB00026</t>
  </si>
  <si>
    <t>ELECTRIC MOTOR</t>
  </si>
  <si>
    <t>850110</t>
  </si>
  <si>
    <t>HAWB00028</t>
  </si>
  <si>
    <t>HAWB00029</t>
  </si>
  <si>
    <t>HAWB00030</t>
  </si>
  <si>
    <t>HAWB00032</t>
  </si>
  <si>
    <t>HAWB00033</t>
  </si>
  <si>
    <t>HAWB00034</t>
  </si>
  <si>
    <t>HAWB00035</t>
  </si>
  <si>
    <t>HAWB00040</t>
  </si>
  <si>
    <t>HAWB00042</t>
  </si>
  <si>
    <t>HAWB00043</t>
  </si>
  <si>
    <t>BEARING</t>
  </si>
  <si>
    <t>848210</t>
  </si>
  <si>
    <t>HAWB00045</t>
  </si>
  <si>
    <t>HAWB00046</t>
  </si>
  <si>
    <t>HAWB00047</t>
  </si>
  <si>
    <t>HAWB00048</t>
  </si>
  <si>
    <t>HAWB00052</t>
  </si>
  <si>
    <t>HAWB00057</t>
  </si>
  <si>
    <t>HAWB00060</t>
  </si>
  <si>
    <t>HAWB00061</t>
  </si>
  <si>
    <t>HAWB00069</t>
  </si>
  <si>
    <t>HAWB00075</t>
  </si>
  <si>
    <t>HAWB00081</t>
  </si>
  <si>
    <t>HAWB00083</t>
  </si>
  <si>
    <t>HAWB00088</t>
  </si>
  <si>
    <t>HAWB00091</t>
  </si>
  <si>
    <t>HAWB00092</t>
  </si>
  <si>
    <t>HAWB00100</t>
  </si>
  <si>
    <t>HAWB00103</t>
  </si>
  <si>
    <t>HAWB00104</t>
  </si>
  <si>
    <t>HAWB00110</t>
  </si>
  <si>
    <t>HAWB00112</t>
  </si>
  <si>
    <t>HAWB00114</t>
  </si>
  <si>
    <t>HAWB00115</t>
  </si>
  <si>
    <t>HAWB00118</t>
  </si>
  <si>
    <t>HAWB00124</t>
  </si>
  <si>
    <t>HAWB00127</t>
  </si>
  <si>
    <t>HAWB00131</t>
  </si>
  <si>
    <t>HAWB00132</t>
  </si>
  <si>
    <t>HAWB00135</t>
  </si>
  <si>
    <t>HAWB00136</t>
  </si>
  <si>
    <t>HAWB00140</t>
  </si>
  <si>
    <t>HAWB00141</t>
  </si>
  <si>
    <t>HAWB00150</t>
  </si>
  <si>
    <t>Textile / Apparel</t>
  </si>
  <si>
    <t>Other</t>
  </si>
  <si>
    <t>Plastics / Rubber</t>
  </si>
  <si>
    <t>Machinery / Parts</t>
  </si>
  <si>
    <t>PLASTIC</t>
  </si>
  <si>
    <t>HS Required</t>
  </si>
  <si>
    <t>Product Category</t>
  </si>
  <si>
    <t>HS Invalid</t>
  </si>
  <si>
    <t>MV</t>
  </si>
  <si>
    <t>AU</t>
  </si>
  <si>
    <t>PCS_1</t>
  </si>
  <si>
    <t>PCS_3</t>
  </si>
  <si>
    <t>PCS_2</t>
  </si>
  <si>
    <t>Total Packages</t>
  </si>
  <si>
    <t>Single Packages</t>
  </si>
  <si>
    <t>Multiple Packages</t>
  </si>
  <si>
    <t>Total Weight</t>
  </si>
  <si>
    <t>Total Value</t>
  </si>
  <si>
    <t>No of Shipper Companies</t>
  </si>
  <si>
    <t>No of Consignees LK</t>
  </si>
  <si>
    <t>No of HS Invalid Pckgs</t>
  </si>
  <si>
    <t>Misrouted Shipments</t>
  </si>
  <si>
    <t>Shipments with Missing HS Codes</t>
  </si>
  <si>
    <t>1</t>
  </si>
  <si>
    <t>Weight</t>
  </si>
  <si>
    <t>Declared Value</t>
  </si>
  <si>
    <t>Plastics/Rubber</t>
  </si>
  <si>
    <t>Rubber Gasket</t>
  </si>
  <si>
    <t>Electric Motor</t>
  </si>
  <si>
    <t>Textile/Apparel</t>
  </si>
  <si>
    <t>Lace</t>
  </si>
  <si>
    <t>Bearing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</si>
</sst>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3" fillId="2" borderId="0" xfId="0" applyFont="1" applyFill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663300"/>
      <color rgb="FF660033"/>
      <color rgb="FFDDDDDD"/>
      <color rgb="FFFFFFCC"/>
      <color rgb="FF2B4455"/>
      <color rgb="FFFFF8E7"/>
      <color rgb="FF333333"/>
      <color rgb="FF008080"/>
      <color rgb="FF1F3A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0.xml"/><Relationship Id="rId18" Type="http://schemas.openxmlformats.org/officeDocument/2006/relationships/pivotTable" Target="pivotTables/pivotTable5.xml"/><Relationship Id="rId26" Type="http://schemas.openxmlformats.org/officeDocument/2006/relationships/powerPivotData" Target="model/item.data"/><Relationship Id="rId39" Type="http://schemas.openxmlformats.org/officeDocument/2006/relationships/customXml" Target="../customXml/item13.xml"/><Relationship Id="rId21" Type="http://schemas.openxmlformats.org/officeDocument/2006/relationships/theme" Target="theme/theme1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Table" Target="pivotTables/pivotTable3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pivotCacheDefinition" Target="pivotCache/pivotCacheDefinition2.xml"/><Relationship Id="rId15" Type="http://schemas.openxmlformats.org/officeDocument/2006/relationships/pivotTable" Target="pivotTables/pivotTable2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pivotCacheDefinition" Target="pivotCache/pivotCacheDefinition7.xml"/><Relationship Id="rId19" Type="http://schemas.openxmlformats.org/officeDocument/2006/relationships/pivotTable" Target="pivotTables/pivotTable6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Table" Target="pivotTables/pivotTable1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pivotTable" Target="pivotTables/pivotTable4.xml"/><Relationship Id="rId25" Type="http://schemas.openxmlformats.org/officeDocument/2006/relationships/sheetMetadata" Target="metadata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pivotTable" Target="pivotTables/pivotTable7.xml"/><Relationship Id="rId41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3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300" b="1" i="0" u="none" strike="noStrike" baseline="0" dirty="0">
                <a:solidFill>
                  <a:schemeClr val="accent2">
                    <a:lumMod val="50000"/>
                  </a:scheme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No. of Shipments by Origin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3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shade val="58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shade val="86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4">
              <a:tint val="86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4">
              <a:tint val="58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shade val="58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4">
              <a:shade val="86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4">
              <a:tint val="86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4">
              <a:tint val="58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>
              <a:shade val="58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4">
              <a:shade val="86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4">
              <a:tint val="86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4">
              <a:tint val="58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invertIfNegative val="0"/>
          <c:dPt>
            <c:idx val="0"/>
            <c:invertIfNegative val="0"/>
            <c:bubble3D val="0"/>
            <c:spPr>
              <a:solidFill>
                <a:schemeClr val="accent4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43-4BFE-8B6A-ADF53DE7FFE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43-4BFE-8B6A-ADF53DE7FFE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43-4BFE-8B6A-ADF53DE7FFE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143-4BFE-8B6A-ADF53DE7FF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TH</c:v>
              </c:pt>
              <c:pt idx="1">
                <c:v>CN</c:v>
              </c:pt>
              <c:pt idx="2">
                <c:v>VN</c:v>
              </c:pt>
              <c:pt idx="3">
                <c:v>IN</c:v>
              </c:pt>
            </c:strLit>
          </c:cat>
          <c:val>
            <c:numLit>
              <c:formatCode>General</c:formatCode>
              <c:ptCount val="4"/>
              <c:pt idx="0">
                <c:v>46</c:v>
              </c:pt>
              <c:pt idx="1">
                <c:v>37</c:v>
              </c:pt>
              <c:pt idx="2">
                <c:v>34</c:v>
              </c:pt>
              <c:pt idx="3">
                <c:v>33</c:v>
              </c:pt>
            </c:numLit>
          </c:val>
          <c:extLst>
            <c:ext xmlns:c16="http://schemas.microsoft.com/office/drawing/2014/chart" uri="{C3380CC4-5D6E-409C-BE32-E72D297353CC}">
              <c16:uniqueId val="{00000008-D143-4BFE-8B6A-ADF53DE7FFE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907101471"/>
        <c:axId val="907110111"/>
      </c:barChart>
      <c:catAx>
        <c:axId val="907101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000" b="1" i="0" u="none" strike="noStrike" baseline="0" dirty="0">
                    <a:solidFill>
                      <a:schemeClr val="accent4">
                        <a:lumMod val="50000"/>
                      </a:schemeClr>
                    </a:solidFill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Origin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accent4">
                      <a:lumMod val="50000"/>
                    </a:schemeClr>
                  </a:solidFill>
                  <a:latin typeface="Calibri" panose="020F0502020204030204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11011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90711011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101471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glow rad="63500">
        <a:schemeClr val="accent3">
          <a:satMod val="175000"/>
          <a:alpha val="40000"/>
        </a:schemeClr>
      </a:glow>
      <a:softEdge rad="12700"/>
    </a:effectLst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[Inbound Shipment Overview Dashboard.xlsx]PivotChartTable8</c15:name>
        <c15:fmtId val="16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3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3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Weight (KG) by Origin</a:t>
            </a:r>
          </a:p>
        </c:rich>
      </c:tx>
      <c:layout>
        <c:manualLayout>
          <c:xMode val="edge"/>
          <c:yMode val="edge"/>
          <c:x val="0.3489270497413352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3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shade val="58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shade val="86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tint val="86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tint val="58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shade val="58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2">
              <a:shade val="86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>
              <a:tint val="86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>
              <a:tint val="58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shade val="58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2">
              <a:shade val="86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2">
              <a:tint val="86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2">
              <a:tint val="58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9362987809765759E-2"/>
          <c:y val="0.22059966462525513"/>
          <c:w val="0.87618125651286538"/>
          <c:h val="0.47367709244677747"/>
        </c:manualLayout>
      </c:layout>
      <c:barChart>
        <c:barDir val="col"/>
        <c:grouping val="clustered"/>
        <c:varyColors val="1"/>
        <c:ser>
          <c:idx val="0"/>
          <c:order val="0"/>
          <c:tx>
            <c:v>Total</c:v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63-4816-BA66-48F184AEAB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63-4816-BA66-48F184AEAB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B63-4816-BA66-48F184AEAB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B63-4816-BA66-48F184AEAB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TH</c:v>
              </c:pt>
              <c:pt idx="1">
                <c:v>CN</c:v>
              </c:pt>
              <c:pt idx="2">
                <c:v>VN</c:v>
              </c:pt>
              <c:pt idx="3">
                <c:v>IN</c:v>
              </c:pt>
            </c:strLit>
          </c:cat>
          <c:val>
            <c:numLit>
              <c:formatCode>General</c:formatCode>
              <c:ptCount val="4"/>
              <c:pt idx="0">
                <c:v>118.94</c:v>
              </c:pt>
              <c:pt idx="1">
                <c:v>81.13</c:v>
              </c:pt>
              <c:pt idx="2">
                <c:v>77.59</c:v>
              </c:pt>
              <c:pt idx="3">
                <c:v>74.12</c:v>
              </c:pt>
            </c:numLit>
          </c:val>
          <c:extLst>
            <c:ext xmlns:c16="http://schemas.microsoft.com/office/drawing/2014/chart" uri="{C3380CC4-5D6E-409C-BE32-E72D297353CC}">
              <c16:uniqueId val="{00000008-5B63-4816-BA66-48F184AEAB2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30"/>
        <c:overlap val="-27"/>
        <c:axId val="907101471"/>
        <c:axId val="907110111"/>
      </c:barChart>
      <c:catAx>
        <c:axId val="907101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0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Origin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chemeClr val="accent4">
                      <a:lumMod val="50000"/>
                    </a:schemeClr>
                  </a:solidFill>
                  <a:latin typeface="Calibri" panose="020F0502020204030204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11011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90711011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101471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glow rad="63500">
        <a:schemeClr val="accent3">
          <a:satMod val="175000"/>
          <a:alpha val="40000"/>
        </a:schemeClr>
      </a:glow>
    </a:effectLst>
  </c:spPr>
  <c:txPr>
    <a:bodyPr/>
    <a:lstStyle/>
    <a:p>
      <a:pPr algn="ctr">
        <a:defRPr lang="en-US" sz="900" b="1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n-US"/>
    </a:p>
  </c:txPr>
  <c:extLst>
    <c:ext xmlns:c15="http://schemas.microsoft.com/office/drawing/2012/chart" uri="{723BEF56-08C2-4564-9609-F4CBC75E7E54}">
      <c15:pivotSource>
        <c15:name>[Inbound Shipment Overview Dashboard.xlsx]PivotChartTable9</c15:name>
        <c15:fmtId val="12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3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3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Declared Value ($) by Origin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3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shade val="58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tint val="86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>
              <a:tint val="58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shade val="58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6">
              <a:tint val="86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6">
              <a:tint val="58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shade val="58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6">
              <a:shade val="86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6">
              <a:tint val="86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6">
              <a:tint val="58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5F-4B51-9739-E46DD993748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5F-4B51-9739-E46DD993748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5F-4B51-9739-E46DD993748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75F-4B51-9739-E46DD99374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TH</c:v>
              </c:pt>
              <c:pt idx="1">
                <c:v>VN</c:v>
              </c:pt>
              <c:pt idx="2">
                <c:v>CN</c:v>
              </c:pt>
              <c:pt idx="3">
                <c:v>IN</c:v>
              </c:pt>
            </c:strLit>
          </c:cat>
          <c:val>
            <c:numLit>
              <c:formatCode>General</c:formatCode>
              <c:ptCount val="4"/>
              <c:pt idx="0">
                <c:v>2793.12</c:v>
              </c:pt>
              <c:pt idx="1">
                <c:v>2034.28</c:v>
              </c:pt>
              <c:pt idx="2">
                <c:v>1891.75</c:v>
              </c:pt>
              <c:pt idx="3">
                <c:v>1753.6</c:v>
              </c:pt>
            </c:numLit>
          </c:val>
          <c:extLst>
            <c:ext xmlns:c16="http://schemas.microsoft.com/office/drawing/2014/chart" uri="{C3380CC4-5D6E-409C-BE32-E72D297353CC}">
              <c16:uniqueId val="{00000008-075F-4B51-9739-E46DD993748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-27"/>
        <c:axId val="907101471"/>
        <c:axId val="907110111"/>
      </c:barChart>
      <c:catAx>
        <c:axId val="907101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0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Origin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chemeClr val="accent4">
                      <a:lumMod val="50000"/>
                    </a:schemeClr>
                  </a:solidFill>
                  <a:latin typeface="Calibri" panose="020F0502020204030204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11011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90711011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101471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3">
          <a:satMod val="175000"/>
          <a:alpha val="40000"/>
        </a:schemeClr>
      </a:glow>
    </a:effectLst>
  </c:spPr>
  <c:txPr>
    <a:bodyPr/>
    <a:lstStyle/>
    <a:p>
      <a:pPr algn="ctr">
        <a:defRPr lang="en-US" sz="1000" b="1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n-US"/>
    </a:p>
  </c:txPr>
  <c:extLst>
    <c:ext xmlns:c15="http://schemas.microsoft.com/office/drawing/2012/chart" uri="{723BEF56-08C2-4564-9609-F4CBC75E7E54}">
      <c15:pivotSource>
        <c15:name>[Inbound Shipment Overview Dashboard.xlsx]PivotChartTable10</c15:name>
        <c15:fmtId val="15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3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3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Declared Value ($) by Product Category</a:t>
            </a:r>
          </a:p>
        </c:rich>
      </c:tx>
      <c:layout>
        <c:manualLayout>
          <c:xMode val="edge"/>
          <c:yMode val="edge"/>
          <c:x val="0.20247563295425769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3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tint val="58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tint val="86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shade val="86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shade val="58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tint val="58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tint val="86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shade val="86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2">
              <a:shade val="58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tint val="58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>
              <a:tint val="86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shade val="86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>
              <a:shade val="58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5C-4B51-A52B-D10CAFE2984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5C-4B51-A52B-D10CAFE2984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5C-4B51-A52B-D10CAFE2984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5C-4B51-A52B-D10CAFE298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Other</c:v>
              </c:pt>
              <c:pt idx="1">
                <c:v>Textile / Apparel</c:v>
              </c:pt>
              <c:pt idx="2">
                <c:v>Plastics / Rubber</c:v>
              </c:pt>
              <c:pt idx="3">
                <c:v>Machinery / Parts</c:v>
              </c:pt>
            </c:strLit>
          </c:cat>
          <c:val>
            <c:numLit>
              <c:formatCode>General</c:formatCode>
              <c:ptCount val="4"/>
              <c:pt idx="0">
                <c:v>3193.31</c:v>
              </c:pt>
              <c:pt idx="1">
                <c:v>2923.93</c:v>
              </c:pt>
              <c:pt idx="2">
                <c:v>1567.67</c:v>
              </c:pt>
              <c:pt idx="3">
                <c:v>787.84</c:v>
              </c:pt>
            </c:numLit>
          </c:val>
          <c:extLst>
            <c:ext xmlns:c16="http://schemas.microsoft.com/office/drawing/2014/chart" uri="{C3380CC4-5D6E-409C-BE32-E72D297353CC}">
              <c16:uniqueId val="{00000008-935C-4B51-A52B-D10CAFE298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30"/>
        <c:overlap val="-27"/>
        <c:axId val="907125951"/>
        <c:axId val="907113471"/>
      </c:barChart>
      <c:catAx>
        <c:axId val="9071259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11347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90711347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125951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3">
          <a:satMod val="175000"/>
          <a:alpha val="40000"/>
        </a:schemeClr>
      </a:glow>
    </a:effectLst>
  </c:spPr>
  <c:txPr>
    <a:bodyPr/>
    <a:lstStyle/>
    <a:p>
      <a:pPr>
        <a:defRPr b="1"/>
      </a:pPr>
      <a:endParaRPr lang="en-US"/>
    </a:p>
  </c:txPr>
  <c:extLst>
    <c:ext xmlns:c15="http://schemas.microsoft.com/office/drawing/2012/chart" uri="{723BEF56-08C2-4564-9609-F4CBC75E7E54}">
      <c15:pivotSource>
        <c15:name>[Inbound Shipment Overview Dashboard.xlsx]PivotChartTable11</c15:name>
        <c15:fmtId val="4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3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3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Weight (KG)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3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shade val="58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4">
              <a:shade val="86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4">
              <a:tint val="86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4">
              <a:tint val="58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shade val="58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4">
              <a:shade val="86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4">
              <a:tint val="86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4">
              <a:tint val="58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shade val="58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4">
              <a:shade val="86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4">
              <a:tint val="86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tint val="58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invertIfNegative val="0"/>
          <c:dPt>
            <c:idx val="0"/>
            <c:invertIfNegative val="0"/>
            <c:bubble3D val="0"/>
            <c:spPr>
              <a:solidFill>
                <a:schemeClr val="accent4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3C-4F60-BD20-FD0B2AD21E0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3C-4F60-BD20-FD0B2AD21E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93C-4F60-BD20-FD0B2AD21E0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93C-4F60-BD20-FD0B2AD21E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Textile / Apparel</c:v>
              </c:pt>
              <c:pt idx="1">
                <c:v>Other</c:v>
              </c:pt>
              <c:pt idx="2">
                <c:v>Plastics / Rubber</c:v>
              </c:pt>
              <c:pt idx="3">
                <c:v>Machinery / Parts</c:v>
              </c:pt>
            </c:strLit>
          </c:cat>
          <c:val>
            <c:numLit>
              <c:formatCode>General</c:formatCode>
              <c:ptCount val="4"/>
              <c:pt idx="0">
                <c:v>244.45</c:v>
              </c:pt>
              <c:pt idx="1">
                <c:v>65.010000000000005</c:v>
              </c:pt>
              <c:pt idx="2">
                <c:v>30.36</c:v>
              </c:pt>
              <c:pt idx="3">
                <c:v>11.96</c:v>
              </c:pt>
            </c:numLit>
          </c:val>
          <c:extLst>
            <c:ext xmlns:c16="http://schemas.microsoft.com/office/drawing/2014/chart" uri="{C3380CC4-5D6E-409C-BE32-E72D297353CC}">
              <c16:uniqueId val="{00000008-593C-4F60-BD20-FD0B2AD21E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907125951"/>
        <c:axId val="907113471"/>
      </c:barChart>
      <c:catAx>
        <c:axId val="9071259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11347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90711347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125951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3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[Inbound Shipment Overview Dashboard.xlsx]PivotChartTable12</c15:name>
        <c15:fmtId val="6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3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3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Declared Value ($) by Consignee_LK </a:t>
            </a:r>
          </a:p>
        </c:rich>
      </c:tx>
      <c:layout>
        <c:manualLayout>
          <c:xMode val="edge"/>
          <c:yMode val="edge"/>
          <c:x val="0.25883309088981676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3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tint val="58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tint val="86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shade val="86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shade val="58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tint val="58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tint val="86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2">
              <a:shade val="86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2">
              <a:shade val="58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>
              <a:tint val="6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shade val="6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tint val="6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2">
              <a:shade val="65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>
              <a:tint val="65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</c:pivotFmt>
      <c:pivotFmt>
        <c:idx val="21"/>
        <c:spPr>
          <a:solidFill>
            <a:schemeClr val="accent2">
              <a:shade val="6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BB-4B34-BC29-FF6711F3346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BB-4B34-BC29-FF6711F3346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BB-4B34-BC29-FF6711F3346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EBB-4B34-BC29-FF6711F334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ABC Apparel Pvt Ltd</c:v>
              </c:pt>
              <c:pt idx="1">
                <c:v>Urban Living Ltd</c:v>
              </c:pt>
              <c:pt idx="2">
                <c:v>Mega Industries Ltd</c:v>
              </c:pt>
            </c:strLit>
          </c:cat>
          <c:val>
            <c:numLit>
              <c:formatCode>General</c:formatCode>
              <c:ptCount val="3"/>
              <c:pt idx="0">
                <c:v>3038.13</c:v>
              </c:pt>
              <c:pt idx="1">
                <c:v>2787.29</c:v>
              </c:pt>
              <c:pt idx="2">
                <c:v>2647.33</c:v>
              </c:pt>
            </c:numLit>
          </c:val>
          <c:extLst>
            <c:ext xmlns:c16="http://schemas.microsoft.com/office/drawing/2014/chart" uri="{C3380CC4-5D6E-409C-BE32-E72D297353CC}">
              <c16:uniqueId val="{00000008-8EBB-4B34-BC29-FF6711F334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907125951"/>
        <c:axId val="907113471"/>
      </c:barChart>
      <c:catAx>
        <c:axId val="9071259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11347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90711347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125951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3">
          <a:satMod val="175000"/>
          <a:alpha val="40000"/>
        </a:schemeClr>
      </a:glow>
    </a:effectLst>
  </c:spPr>
  <c:txPr>
    <a:bodyPr/>
    <a:lstStyle/>
    <a:p>
      <a:pPr>
        <a:defRPr b="1"/>
      </a:pPr>
      <a:endParaRPr lang="en-US"/>
    </a:p>
  </c:txPr>
  <c:extLst>
    <c:ext xmlns:c15="http://schemas.microsoft.com/office/drawing/2012/chart" uri="{723BEF56-08C2-4564-9609-F4CBC75E7E54}">
      <c15:pivotSource>
        <c15:name>[Inbound Shipment Overview Dashboard.xlsx]PivotChartTable13</c15:name>
        <c15:fmtId val="6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3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3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Weight (KG) by Consignee_LK </a:t>
            </a:r>
          </a:p>
        </c:rich>
      </c:tx>
      <c:layout>
        <c:manualLayout>
          <c:xMode val="edge"/>
          <c:yMode val="edge"/>
          <c:x val="0.28324595551210546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3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</c:pivotFmt>
      <c:pivotFmt>
        <c:idx val="1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>
              <a:tint val="6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4"/>
          </a:solidFill>
          <a:ln>
            <a:noFill/>
          </a:ln>
          <a:effectLst/>
        </c:spPr>
      </c:pivotFmt>
      <c:pivotFmt>
        <c:idx val="18"/>
        <c:spPr>
          <a:solidFill>
            <a:schemeClr val="accent2">
              <a:shade val="65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shade val="65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</c:pivotFmt>
      <c:pivotFmt>
        <c:idx val="22"/>
        <c:spPr>
          <a:solidFill>
            <a:schemeClr val="accent4">
              <a:tint val="65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4">
              <a:shade val="65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chemeClr val="accent4"/>
          </a:solidFill>
          <a:ln>
            <a:noFill/>
          </a:ln>
          <a:effectLst/>
        </c:spPr>
      </c:pivotFmt>
      <c:pivotFmt>
        <c:idx val="26"/>
        <c:spPr>
          <a:solidFill>
            <a:schemeClr val="accent4">
              <a:tint val="65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4">
              <a:shade val="65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4"/>
          </a:solidFill>
          <a:ln>
            <a:noFill/>
          </a:ln>
          <a:effectLst/>
        </c:spPr>
      </c:pivotFmt>
      <c:pivotFmt>
        <c:idx val="30"/>
        <c:spPr>
          <a:solidFill>
            <a:schemeClr val="accent4">
              <a:tint val="6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invertIfNegative val="0"/>
          <c:dPt>
            <c:idx val="0"/>
            <c:invertIfNegative val="0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84-4F88-8A38-45A5B3C98F0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84-4F88-8A38-45A5B3C98F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D84-4F88-8A38-45A5B3C98F0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tint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D84-4F88-8A38-45A5B3C98F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Mega Industries Ltd</c:v>
              </c:pt>
              <c:pt idx="1">
                <c:v>ABC Apparel Pvt Ltd</c:v>
              </c:pt>
              <c:pt idx="2">
                <c:v>Urban Living Ltd</c:v>
              </c:pt>
            </c:strLit>
          </c:cat>
          <c:val>
            <c:numLit>
              <c:formatCode>General</c:formatCode>
              <c:ptCount val="3"/>
              <c:pt idx="0">
                <c:v>131.26</c:v>
              </c:pt>
              <c:pt idx="1">
                <c:v>126.12</c:v>
              </c:pt>
              <c:pt idx="2">
                <c:v>94.4</c:v>
              </c:pt>
            </c:numLit>
          </c:val>
          <c:extLst>
            <c:ext xmlns:c16="http://schemas.microsoft.com/office/drawing/2014/chart" uri="{C3380CC4-5D6E-409C-BE32-E72D297353CC}">
              <c16:uniqueId val="{00000008-BD84-4F88-8A38-45A5B3C98F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27"/>
        <c:axId val="907125951"/>
        <c:axId val="907113471"/>
      </c:barChart>
      <c:catAx>
        <c:axId val="9071259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11347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90711347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125951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3">
          <a:satMod val="175000"/>
          <a:alpha val="40000"/>
        </a:schemeClr>
      </a:glow>
    </a:effectLst>
  </c:spPr>
  <c:txPr>
    <a:bodyPr/>
    <a:lstStyle/>
    <a:p>
      <a:pPr>
        <a:defRPr b="1"/>
      </a:pPr>
      <a:endParaRPr lang="en-US"/>
    </a:p>
  </c:txPr>
  <c:extLst>
    <c:ext xmlns:c15="http://schemas.microsoft.com/office/drawing/2012/chart" uri="{723BEF56-08C2-4564-9609-F4CBC75E7E54}">
      <c15:pivotSource>
        <c15:name>[Inbound Shipment Overview Dashboard.xlsx]PivotChartTable14</c15:name>
        <c15:fmtId val="1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3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3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Weight VS Declared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3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Table1!$K$1</c:f>
              <c:strCache>
                <c:ptCount val="1"/>
                <c:pt idx="0">
                  <c:v>Declared_Value_USD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Table1!$D$2:$D$151</c:f>
              <c:numCache>
                <c:formatCode>General</c:formatCode>
                <c:ptCount val="150"/>
                <c:pt idx="0">
                  <c:v>3.79</c:v>
                </c:pt>
                <c:pt idx="1">
                  <c:v>2.2799999999999998</c:v>
                </c:pt>
                <c:pt idx="2">
                  <c:v>2.41</c:v>
                </c:pt>
                <c:pt idx="3">
                  <c:v>2.46</c:v>
                </c:pt>
                <c:pt idx="4">
                  <c:v>3.41</c:v>
                </c:pt>
                <c:pt idx="5">
                  <c:v>2.04</c:v>
                </c:pt>
                <c:pt idx="6">
                  <c:v>3.73</c:v>
                </c:pt>
                <c:pt idx="7">
                  <c:v>1.38</c:v>
                </c:pt>
                <c:pt idx="8">
                  <c:v>3.38</c:v>
                </c:pt>
                <c:pt idx="9">
                  <c:v>3.05</c:v>
                </c:pt>
                <c:pt idx="10">
                  <c:v>4.3499999999999996</c:v>
                </c:pt>
                <c:pt idx="11">
                  <c:v>1.48</c:v>
                </c:pt>
                <c:pt idx="12">
                  <c:v>1.9</c:v>
                </c:pt>
                <c:pt idx="13">
                  <c:v>4.59</c:v>
                </c:pt>
                <c:pt idx="14">
                  <c:v>1.82</c:v>
                </c:pt>
                <c:pt idx="15">
                  <c:v>4.75</c:v>
                </c:pt>
                <c:pt idx="16">
                  <c:v>2.5299999999999998</c:v>
                </c:pt>
                <c:pt idx="17">
                  <c:v>1.77</c:v>
                </c:pt>
                <c:pt idx="18">
                  <c:v>3.07</c:v>
                </c:pt>
                <c:pt idx="19">
                  <c:v>3.99</c:v>
                </c:pt>
                <c:pt idx="20">
                  <c:v>1.2</c:v>
                </c:pt>
                <c:pt idx="21">
                  <c:v>1.08</c:v>
                </c:pt>
                <c:pt idx="22">
                  <c:v>1.19</c:v>
                </c:pt>
                <c:pt idx="23">
                  <c:v>3.05</c:v>
                </c:pt>
                <c:pt idx="24">
                  <c:v>0.62</c:v>
                </c:pt>
                <c:pt idx="25">
                  <c:v>0.69</c:v>
                </c:pt>
                <c:pt idx="26">
                  <c:v>3.46</c:v>
                </c:pt>
                <c:pt idx="27">
                  <c:v>2.83</c:v>
                </c:pt>
                <c:pt idx="28">
                  <c:v>0.79</c:v>
                </c:pt>
                <c:pt idx="29">
                  <c:v>0.73</c:v>
                </c:pt>
                <c:pt idx="30">
                  <c:v>3.78</c:v>
                </c:pt>
                <c:pt idx="31">
                  <c:v>0.47</c:v>
                </c:pt>
                <c:pt idx="32">
                  <c:v>4.3600000000000003</c:v>
                </c:pt>
                <c:pt idx="33">
                  <c:v>4.3600000000000003</c:v>
                </c:pt>
                <c:pt idx="34">
                  <c:v>0.84</c:v>
                </c:pt>
                <c:pt idx="35">
                  <c:v>2.2200000000000002</c:v>
                </c:pt>
                <c:pt idx="36">
                  <c:v>3.82</c:v>
                </c:pt>
                <c:pt idx="37">
                  <c:v>0.7</c:v>
                </c:pt>
                <c:pt idx="38">
                  <c:v>0.99</c:v>
                </c:pt>
                <c:pt idx="39">
                  <c:v>3.57</c:v>
                </c:pt>
                <c:pt idx="40">
                  <c:v>2.8</c:v>
                </c:pt>
                <c:pt idx="41">
                  <c:v>3.8</c:v>
                </c:pt>
                <c:pt idx="42">
                  <c:v>1.42</c:v>
                </c:pt>
                <c:pt idx="43">
                  <c:v>1.01</c:v>
                </c:pt>
                <c:pt idx="44">
                  <c:v>4.91</c:v>
                </c:pt>
                <c:pt idx="45">
                  <c:v>4.37</c:v>
                </c:pt>
                <c:pt idx="46">
                  <c:v>3.36</c:v>
                </c:pt>
                <c:pt idx="47">
                  <c:v>2.5299999999999998</c:v>
                </c:pt>
                <c:pt idx="48">
                  <c:v>4.83</c:v>
                </c:pt>
                <c:pt idx="49">
                  <c:v>3.08</c:v>
                </c:pt>
                <c:pt idx="50">
                  <c:v>3.98</c:v>
                </c:pt>
                <c:pt idx="51">
                  <c:v>3.75</c:v>
                </c:pt>
                <c:pt idx="52">
                  <c:v>1.61</c:v>
                </c:pt>
                <c:pt idx="53">
                  <c:v>1.43</c:v>
                </c:pt>
                <c:pt idx="54">
                  <c:v>1.32</c:v>
                </c:pt>
                <c:pt idx="55">
                  <c:v>1.69</c:v>
                </c:pt>
                <c:pt idx="56">
                  <c:v>2.9</c:v>
                </c:pt>
                <c:pt idx="57">
                  <c:v>3.26</c:v>
                </c:pt>
                <c:pt idx="58">
                  <c:v>2.92</c:v>
                </c:pt>
                <c:pt idx="59">
                  <c:v>1.1200000000000001</c:v>
                </c:pt>
                <c:pt idx="60">
                  <c:v>3.82</c:v>
                </c:pt>
                <c:pt idx="61">
                  <c:v>2.84</c:v>
                </c:pt>
                <c:pt idx="62">
                  <c:v>0.73</c:v>
                </c:pt>
                <c:pt idx="63">
                  <c:v>2.5099999999999998</c:v>
                </c:pt>
                <c:pt idx="64">
                  <c:v>4.18</c:v>
                </c:pt>
                <c:pt idx="65">
                  <c:v>2.38</c:v>
                </c:pt>
                <c:pt idx="66">
                  <c:v>0.44</c:v>
                </c:pt>
                <c:pt idx="67">
                  <c:v>1.36</c:v>
                </c:pt>
                <c:pt idx="68">
                  <c:v>3.62</c:v>
                </c:pt>
                <c:pt idx="69">
                  <c:v>2.69</c:v>
                </c:pt>
                <c:pt idx="70">
                  <c:v>1.63</c:v>
                </c:pt>
                <c:pt idx="71">
                  <c:v>4.59</c:v>
                </c:pt>
                <c:pt idx="72">
                  <c:v>0.89</c:v>
                </c:pt>
                <c:pt idx="73">
                  <c:v>3.7</c:v>
                </c:pt>
                <c:pt idx="74">
                  <c:v>0.68</c:v>
                </c:pt>
                <c:pt idx="75">
                  <c:v>0.62</c:v>
                </c:pt>
                <c:pt idx="76">
                  <c:v>4.3899999999999997</c:v>
                </c:pt>
                <c:pt idx="77">
                  <c:v>1.71</c:v>
                </c:pt>
                <c:pt idx="78">
                  <c:v>1.41</c:v>
                </c:pt>
                <c:pt idx="79">
                  <c:v>3.29</c:v>
                </c:pt>
                <c:pt idx="80">
                  <c:v>0.76</c:v>
                </c:pt>
                <c:pt idx="81">
                  <c:v>2.66</c:v>
                </c:pt>
                <c:pt idx="82">
                  <c:v>4.3899999999999997</c:v>
                </c:pt>
                <c:pt idx="83">
                  <c:v>2.02</c:v>
                </c:pt>
                <c:pt idx="84">
                  <c:v>2.09</c:v>
                </c:pt>
                <c:pt idx="85">
                  <c:v>1.34</c:v>
                </c:pt>
                <c:pt idx="86">
                  <c:v>1.73</c:v>
                </c:pt>
                <c:pt idx="87">
                  <c:v>3.42</c:v>
                </c:pt>
                <c:pt idx="88">
                  <c:v>4.2</c:v>
                </c:pt>
                <c:pt idx="89">
                  <c:v>0.31</c:v>
                </c:pt>
                <c:pt idx="90">
                  <c:v>0.37</c:v>
                </c:pt>
                <c:pt idx="91">
                  <c:v>0.83</c:v>
                </c:pt>
                <c:pt idx="92">
                  <c:v>1.34</c:v>
                </c:pt>
                <c:pt idx="93">
                  <c:v>4.83</c:v>
                </c:pt>
                <c:pt idx="94">
                  <c:v>4.53</c:v>
                </c:pt>
                <c:pt idx="95">
                  <c:v>2.79</c:v>
                </c:pt>
                <c:pt idx="96">
                  <c:v>2.33</c:v>
                </c:pt>
                <c:pt idx="97">
                  <c:v>3.39</c:v>
                </c:pt>
                <c:pt idx="98">
                  <c:v>1.36</c:v>
                </c:pt>
                <c:pt idx="99">
                  <c:v>0.97</c:v>
                </c:pt>
                <c:pt idx="100">
                  <c:v>2.04</c:v>
                </c:pt>
                <c:pt idx="101">
                  <c:v>1.63</c:v>
                </c:pt>
                <c:pt idx="102">
                  <c:v>1.26</c:v>
                </c:pt>
                <c:pt idx="103">
                  <c:v>0.91</c:v>
                </c:pt>
                <c:pt idx="104">
                  <c:v>0.78</c:v>
                </c:pt>
                <c:pt idx="105">
                  <c:v>0.63</c:v>
                </c:pt>
                <c:pt idx="106">
                  <c:v>4.3600000000000003</c:v>
                </c:pt>
                <c:pt idx="107">
                  <c:v>4.0999999999999996</c:v>
                </c:pt>
                <c:pt idx="108">
                  <c:v>1.55</c:v>
                </c:pt>
                <c:pt idx="109">
                  <c:v>1.04</c:v>
                </c:pt>
                <c:pt idx="110">
                  <c:v>3.14</c:v>
                </c:pt>
                <c:pt idx="111">
                  <c:v>1.29</c:v>
                </c:pt>
                <c:pt idx="112">
                  <c:v>1.35</c:v>
                </c:pt>
                <c:pt idx="113">
                  <c:v>1.84</c:v>
                </c:pt>
                <c:pt idx="114">
                  <c:v>3.72</c:v>
                </c:pt>
                <c:pt idx="115">
                  <c:v>0.51</c:v>
                </c:pt>
                <c:pt idx="116">
                  <c:v>2.33</c:v>
                </c:pt>
                <c:pt idx="117">
                  <c:v>3.99</c:v>
                </c:pt>
                <c:pt idx="118">
                  <c:v>1.33</c:v>
                </c:pt>
                <c:pt idx="119">
                  <c:v>0.59</c:v>
                </c:pt>
                <c:pt idx="120">
                  <c:v>0.33</c:v>
                </c:pt>
                <c:pt idx="121">
                  <c:v>1.33</c:v>
                </c:pt>
                <c:pt idx="122">
                  <c:v>1.61</c:v>
                </c:pt>
                <c:pt idx="123">
                  <c:v>4.16</c:v>
                </c:pt>
                <c:pt idx="124">
                  <c:v>1.1499999999999999</c:v>
                </c:pt>
                <c:pt idx="125">
                  <c:v>4.03</c:v>
                </c:pt>
                <c:pt idx="126">
                  <c:v>2.9</c:v>
                </c:pt>
                <c:pt idx="127">
                  <c:v>1.48</c:v>
                </c:pt>
                <c:pt idx="128">
                  <c:v>1.9</c:v>
                </c:pt>
                <c:pt idx="129">
                  <c:v>2.97</c:v>
                </c:pt>
                <c:pt idx="130">
                  <c:v>3.62</c:v>
                </c:pt>
                <c:pt idx="131">
                  <c:v>0.84</c:v>
                </c:pt>
                <c:pt idx="132">
                  <c:v>2.74</c:v>
                </c:pt>
                <c:pt idx="133">
                  <c:v>3.41</c:v>
                </c:pt>
                <c:pt idx="134">
                  <c:v>4.68</c:v>
                </c:pt>
                <c:pt idx="135">
                  <c:v>1.08</c:v>
                </c:pt>
                <c:pt idx="136">
                  <c:v>0.98</c:v>
                </c:pt>
                <c:pt idx="137">
                  <c:v>1.5</c:v>
                </c:pt>
                <c:pt idx="138">
                  <c:v>0.34</c:v>
                </c:pt>
                <c:pt idx="139">
                  <c:v>1.84</c:v>
                </c:pt>
                <c:pt idx="140">
                  <c:v>3.45</c:v>
                </c:pt>
                <c:pt idx="141">
                  <c:v>3.19</c:v>
                </c:pt>
                <c:pt idx="142">
                  <c:v>0.77</c:v>
                </c:pt>
                <c:pt idx="143">
                  <c:v>2.42</c:v>
                </c:pt>
                <c:pt idx="144">
                  <c:v>2.31</c:v>
                </c:pt>
                <c:pt idx="145">
                  <c:v>1.96</c:v>
                </c:pt>
                <c:pt idx="146">
                  <c:v>3.6</c:v>
                </c:pt>
                <c:pt idx="147">
                  <c:v>3.41</c:v>
                </c:pt>
                <c:pt idx="148">
                  <c:v>0.39</c:v>
                </c:pt>
                <c:pt idx="149">
                  <c:v>0.84</c:v>
                </c:pt>
              </c:numCache>
            </c:numRef>
          </c:xVal>
          <c:yVal>
            <c:numRef>
              <c:f>Table1!$K$2:$K$151</c:f>
              <c:numCache>
                <c:formatCode>General</c:formatCode>
                <c:ptCount val="150"/>
                <c:pt idx="0">
                  <c:v>143.69</c:v>
                </c:pt>
                <c:pt idx="1">
                  <c:v>34.99</c:v>
                </c:pt>
                <c:pt idx="2">
                  <c:v>18.84</c:v>
                </c:pt>
                <c:pt idx="3">
                  <c:v>35.909999999999997</c:v>
                </c:pt>
                <c:pt idx="4">
                  <c:v>78.92</c:v>
                </c:pt>
                <c:pt idx="5">
                  <c:v>50</c:v>
                </c:pt>
                <c:pt idx="6">
                  <c:v>15.52</c:v>
                </c:pt>
                <c:pt idx="7">
                  <c:v>55.05</c:v>
                </c:pt>
                <c:pt idx="8">
                  <c:v>45.46</c:v>
                </c:pt>
                <c:pt idx="9">
                  <c:v>32.04</c:v>
                </c:pt>
                <c:pt idx="10">
                  <c:v>24.93</c:v>
                </c:pt>
                <c:pt idx="11">
                  <c:v>163.87</c:v>
                </c:pt>
                <c:pt idx="12">
                  <c:v>58.4</c:v>
                </c:pt>
                <c:pt idx="13">
                  <c:v>33.74</c:v>
                </c:pt>
                <c:pt idx="14">
                  <c:v>73.52</c:v>
                </c:pt>
                <c:pt idx="15">
                  <c:v>147.22</c:v>
                </c:pt>
                <c:pt idx="16">
                  <c:v>57.97</c:v>
                </c:pt>
                <c:pt idx="17">
                  <c:v>15.81</c:v>
                </c:pt>
                <c:pt idx="18">
                  <c:v>16.05</c:v>
                </c:pt>
                <c:pt idx="19">
                  <c:v>23.19</c:v>
                </c:pt>
                <c:pt idx="20">
                  <c:v>29.37</c:v>
                </c:pt>
                <c:pt idx="21">
                  <c:v>63.05</c:v>
                </c:pt>
                <c:pt idx="22">
                  <c:v>144.72</c:v>
                </c:pt>
                <c:pt idx="23">
                  <c:v>159.19</c:v>
                </c:pt>
                <c:pt idx="24">
                  <c:v>74.47</c:v>
                </c:pt>
                <c:pt idx="25">
                  <c:v>16.61</c:v>
                </c:pt>
                <c:pt idx="26">
                  <c:v>41.3</c:v>
                </c:pt>
                <c:pt idx="27">
                  <c:v>163.1</c:v>
                </c:pt>
                <c:pt idx="28">
                  <c:v>117.45</c:v>
                </c:pt>
                <c:pt idx="29">
                  <c:v>39.32</c:v>
                </c:pt>
                <c:pt idx="30">
                  <c:v>56.87</c:v>
                </c:pt>
                <c:pt idx="31">
                  <c:v>23.79</c:v>
                </c:pt>
                <c:pt idx="32">
                  <c:v>47.6</c:v>
                </c:pt>
                <c:pt idx="33">
                  <c:v>93.56</c:v>
                </c:pt>
                <c:pt idx="34">
                  <c:v>45.36</c:v>
                </c:pt>
                <c:pt idx="35">
                  <c:v>40.9</c:v>
                </c:pt>
                <c:pt idx="36">
                  <c:v>20.32</c:v>
                </c:pt>
                <c:pt idx="37">
                  <c:v>134.19</c:v>
                </c:pt>
                <c:pt idx="38">
                  <c:v>28.96</c:v>
                </c:pt>
                <c:pt idx="39">
                  <c:v>53.88</c:v>
                </c:pt>
                <c:pt idx="40">
                  <c:v>27.32</c:v>
                </c:pt>
                <c:pt idx="41">
                  <c:v>78.819999999999993</c:v>
                </c:pt>
                <c:pt idx="42">
                  <c:v>22.14</c:v>
                </c:pt>
                <c:pt idx="43">
                  <c:v>26.23</c:v>
                </c:pt>
                <c:pt idx="44">
                  <c:v>7.79</c:v>
                </c:pt>
                <c:pt idx="45">
                  <c:v>28.92</c:v>
                </c:pt>
                <c:pt idx="46">
                  <c:v>38.42</c:v>
                </c:pt>
                <c:pt idx="47">
                  <c:v>12.56</c:v>
                </c:pt>
                <c:pt idx="48">
                  <c:v>25.61</c:v>
                </c:pt>
                <c:pt idx="49">
                  <c:v>124.06</c:v>
                </c:pt>
                <c:pt idx="50">
                  <c:v>39.909999999999997</c:v>
                </c:pt>
                <c:pt idx="51">
                  <c:v>21.37</c:v>
                </c:pt>
                <c:pt idx="52">
                  <c:v>22.17</c:v>
                </c:pt>
                <c:pt idx="53">
                  <c:v>106.65</c:v>
                </c:pt>
                <c:pt idx="54">
                  <c:v>37.020000000000003</c:v>
                </c:pt>
                <c:pt idx="55">
                  <c:v>10.220000000000001</c:v>
                </c:pt>
                <c:pt idx="56">
                  <c:v>79.81</c:v>
                </c:pt>
                <c:pt idx="57">
                  <c:v>51.93</c:v>
                </c:pt>
                <c:pt idx="58">
                  <c:v>19.95</c:v>
                </c:pt>
                <c:pt idx="59">
                  <c:v>19.600000000000001</c:v>
                </c:pt>
                <c:pt idx="60">
                  <c:v>42.88</c:v>
                </c:pt>
                <c:pt idx="61">
                  <c:v>44.87</c:v>
                </c:pt>
                <c:pt idx="62">
                  <c:v>45.63</c:v>
                </c:pt>
                <c:pt idx="63">
                  <c:v>21.8</c:v>
                </c:pt>
                <c:pt idx="64">
                  <c:v>23.62</c:v>
                </c:pt>
                <c:pt idx="65">
                  <c:v>27.97</c:v>
                </c:pt>
                <c:pt idx="66">
                  <c:v>3.78</c:v>
                </c:pt>
                <c:pt idx="67">
                  <c:v>31.41</c:v>
                </c:pt>
                <c:pt idx="68">
                  <c:v>11.24</c:v>
                </c:pt>
                <c:pt idx="69">
                  <c:v>87.58</c:v>
                </c:pt>
                <c:pt idx="70">
                  <c:v>22.67</c:v>
                </c:pt>
                <c:pt idx="71">
                  <c:v>177.31</c:v>
                </c:pt>
                <c:pt idx="72">
                  <c:v>53.96</c:v>
                </c:pt>
                <c:pt idx="73">
                  <c:v>22.3</c:v>
                </c:pt>
                <c:pt idx="74">
                  <c:v>52.73</c:v>
                </c:pt>
                <c:pt idx="75">
                  <c:v>46.34</c:v>
                </c:pt>
                <c:pt idx="76">
                  <c:v>72.510000000000005</c:v>
                </c:pt>
                <c:pt idx="77">
                  <c:v>179.91</c:v>
                </c:pt>
                <c:pt idx="78">
                  <c:v>4.25</c:v>
                </c:pt>
                <c:pt idx="79">
                  <c:v>135.32</c:v>
                </c:pt>
                <c:pt idx="80">
                  <c:v>44.74</c:v>
                </c:pt>
                <c:pt idx="81">
                  <c:v>175.43</c:v>
                </c:pt>
                <c:pt idx="82">
                  <c:v>52.03</c:v>
                </c:pt>
                <c:pt idx="83">
                  <c:v>24.01</c:v>
                </c:pt>
                <c:pt idx="84">
                  <c:v>38.31</c:v>
                </c:pt>
                <c:pt idx="85">
                  <c:v>9.65</c:v>
                </c:pt>
                <c:pt idx="86">
                  <c:v>10.73</c:v>
                </c:pt>
                <c:pt idx="87">
                  <c:v>178.43</c:v>
                </c:pt>
                <c:pt idx="88">
                  <c:v>21.73</c:v>
                </c:pt>
                <c:pt idx="89">
                  <c:v>9.27</c:v>
                </c:pt>
                <c:pt idx="90">
                  <c:v>10.23</c:v>
                </c:pt>
                <c:pt idx="91">
                  <c:v>123.11</c:v>
                </c:pt>
                <c:pt idx="92">
                  <c:v>113</c:v>
                </c:pt>
                <c:pt idx="93">
                  <c:v>30.95</c:v>
                </c:pt>
                <c:pt idx="94">
                  <c:v>43.59</c:v>
                </c:pt>
                <c:pt idx="95">
                  <c:v>159.38999999999999</c:v>
                </c:pt>
                <c:pt idx="96">
                  <c:v>35.020000000000003</c:v>
                </c:pt>
                <c:pt idx="97">
                  <c:v>56.08</c:v>
                </c:pt>
                <c:pt idx="98">
                  <c:v>77.44</c:v>
                </c:pt>
                <c:pt idx="99">
                  <c:v>26.93</c:v>
                </c:pt>
                <c:pt idx="100">
                  <c:v>41.42</c:v>
                </c:pt>
                <c:pt idx="101">
                  <c:v>15.57</c:v>
                </c:pt>
                <c:pt idx="102">
                  <c:v>3.44</c:v>
                </c:pt>
                <c:pt idx="103">
                  <c:v>7.11</c:v>
                </c:pt>
                <c:pt idx="104">
                  <c:v>77.03</c:v>
                </c:pt>
                <c:pt idx="105">
                  <c:v>10.54</c:v>
                </c:pt>
                <c:pt idx="106">
                  <c:v>48.63</c:v>
                </c:pt>
                <c:pt idx="107">
                  <c:v>50.65</c:v>
                </c:pt>
                <c:pt idx="108">
                  <c:v>40.729999999999997</c:v>
                </c:pt>
                <c:pt idx="109">
                  <c:v>114.05</c:v>
                </c:pt>
                <c:pt idx="110">
                  <c:v>31.81</c:v>
                </c:pt>
                <c:pt idx="111">
                  <c:v>176.34</c:v>
                </c:pt>
                <c:pt idx="112">
                  <c:v>71.209999999999994</c:v>
                </c:pt>
                <c:pt idx="113">
                  <c:v>41.73</c:v>
                </c:pt>
                <c:pt idx="114">
                  <c:v>93.93</c:v>
                </c:pt>
                <c:pt idx="115">
                  <c:v>136.16</c:v>
                </c:pt>
                <c:pt idx="116">
                  <c:v>166.01</c:v>
                </c:pt>
                <c:pt idx="117">
                  <c:v>32.14</c:v>
                </c:pt>
                <c:pt idx="118">
                  <c:v>29.02</c:v>
                </c:pt>
                <c:pt idx="119">
                  <c:v>159.94</c:v>
                </c:pt>
                <c:pt idx="120">
                  <c:v>115.35</c:v>
                </c:pt>
                <c:pt idx="121">
                  <c:v>44.28</c:v>
                </c:pt>
                <c:pt idx="122">
                  <c:v>5.97</c:v>
                </c:pt>
                <c:pt idx="123">
                  <c:v>43.32</c:v>
                </c:pt>
                <c:pt idx="124">
                  <c:v>34.68</c:v>
                </c:pt>
                <c:pt idx="125">
                  <c:v>20.45</c:v>
                </c:pt>
                <c:pt idx="126">
                  <c:v>43.06</c:v>
                </c:pt>
                <c:pt idx="127">
                  <c:v>57.2</c:v>
                </c:pt>
                <c:pt idx="128">
                  <c:v>25.84</c:v>
                </c:pt>
                <c:pt idx="129">
                  <c:v>40.64</c:v>
                </c:pt>
                <c:pt idx="130">
                  <c:v>47.91</c:v>
                </c:pt>
                <c:pt idx="131">
                  <c:v>48.35</c:v>
                </c:pt>
                <c:pt idx="132">
                  <c:v>128.87</c:v>
                </c:pt>
                <c:pt idx="133">
                  <c:v>21.43</c:v>
                </c:pt>
                <c:pt idx="134">
                  <c:v>5.49</c:v>
                </c:pt>
                <c:pt idx="135">
                  <c:v>19.72</c:v>
                </c:pt>
                <c:pt idx="136">
                  <c:v>12.69</c:v>
                </c:pt>
                <c:pt idx="137">
                  <c:v>7.21</c:v>
                </c:pt>
                <c:pt idx="138">
                  <c:v>124.99</c:v>
                </c:pt>
                <c:pt idx="139">
                  <c:v>52.96</c:v>
                </c:pt>
                <c:pt idx="140">
                  <c:v>163.96</c:v>
                </c:pt>
                <c:pt idx="141">
                  <c:v>28.35</c:v>
                </c:pt>
                <c:pt idx="142">
                  <c:v>58.19</c:v>
                </c:pt>
                <c:pt idx="143">
                  <c:v>98.24</c:v>
                </c:pt>
                <c:pt idx="144">
                  <c:v>6.83</c:v>
                </c:pt>
                <c:pt idx="145">
                  <c:v>8.91</c:v>
                </c:pt>
                <c:pt idx="146">
                  <c:v>35.28</c:v>
                </c:pt>
                <c:pt idx="147">
                  <c:v>9.49</c:v>
                </c:pt>
                <c:pt idx="148">
                  <c:v>43.44</c:v>
                </c:pt>
                <c:pt idx="149">
                  <c:v>104.41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3C-4670-9259-36A914DEC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690944"/>
        <c:axId val="2107677984"/>
      </c:scatterChart>
      <c:valAx>
        <c:axId val="2107690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4">
                        <a:lumMod val="50000"/>
                      </a:schemeClr>
                    </a:solidFill>
                  </a:rPr>
                  <a:t>Weight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4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677984"/>
        <c:crosses val="autoZero"/>
        <c:crossBetween val="midCat"/>
      </c:valAx>
      <c:valAx>
        <c:axId val="2107677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69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3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Declared Value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300">
              <a:solidFill>
                <a:schemeClr val="accent2">
                  <a:lumMod val="50000"/>
                </a:schemeClr>
              </a:solidFill>
            </a:defRPr>
          </a:pPr>
          <a:r>
            <a:rPr lang="en-US" sz="1300" b="1" i="0" u="none" strike="noStrike" baseline="0">
              <a:solidFill>
                <a:schemeClr val="accent2">
                  <a:lumMod val="50000"/>
                </a:schemeClr>
              </a:solidFill>
              <a:latin typeface="Calibri" panose="020F0502020204030204"/>
            </a:rPr>
            <a:t>Declared Value Distribution</a:t>
          </a:r>
        </a:p>
      </cx:txPr>
    </cx:title>
    <cx:plotArea>
      <cx:plotAreaRegion>
        <cx:series layoutId="clusteredColumn" uniqueId="{D036F1BE-AD78-4E83-98F6-D539FEF8A9CB}">
          <cx:tx>
            <cx:txData>
              <cx:f>_xlchart.v1.2</cx:f>
              <cx:v>Declared_Value_USD</cx:v>
            </cx:txData>
          </cx:tx>
          <cx:spPr>
            <a:ln w="3175">
              <a:solidFill>
                <a:sysClr val="windowText" lastClr="000000"/>
              </a:solidFill>
            </a:ln>
          </cx:spPr>
          <cx:dataId val="0"/>
          <cx:layoutPr>
            <cx:binning intervalClosed="r">
              <cx:binSize val="20"/>
            </cx:binning>
          </cx:layoutPr>
        </cx:series>
      </cx:plotAreaRegion>
      <cx:axis id="0" hidden="1">
        <cx:catScaling gapWidth="0"/>
        <cx:title>
          <cx:tx>
            <cx:txData>
              <cx:v>Declared Value ($)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chemeClr val="accent4">
                      <a:lumMod val="50000"/>
                    </a:schemeClr>
                  </a:solidFill>
                </a:defRPr>
              </a:pPr>
              <a:r>
                <a:rPr lang="en-US" sz="1000" b="1" i="0" u="none" strike="noStrike" baseline="0">
                  <a:solidFill>
                    <a:schemeClr val="accent4">
                      <a:lumMod val="50000"/>
                    </a:schemeClr>
                  </a:solidFill>
                  <a:latin typeface="Calibri" panose="020F0502020204030204"/>
                </a:rPr>
                <a:t>Declared Value ($)</a:t>
              </a:r>
            </a:p>
          </cx:txPr>
        </cx:title>
        <cx:majorTickMarks type="out"/>
        <cx:tickLabels/>
      </cx:axis>
      <cx:axis id="1">
        <cx:valScaling/>
        <cx:title>
          <cx:tx>
            <cx:txData>
              <cx:v>Axis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bg1"/>
                  </a:solidFill>
                </a:defRPr>
              </a:pPr>
              <a:r>
                <a:rPr lang="en-US" sz="900" b="0" i="0" u="none" strike="noStrike" baseline="0">
                  <a:solidFill>
                    <a:schemeClr val="bg1"/>
                  </a:solidFill>
                  <a:latin typeface="Calibri" panose="020F0502020204030204"/>
                </a:rPr>
                <a:t>Axis </a:t>
              </a:r>
            </a:p>
          </cx:txPr>
        </cx:title>
        <cx:majorTickMarks type="out"/>
        <cx:tickLabels/>
      </cx:axis>
    </cx:plotArea>
  </cx:chart>
  <cx:spPr>
    <a:ln>
      <a:noFill/>
    </a:ln>
    <a:effectLst>
      <a:glow rad="63500">
        <a:schemeClr val="accent3">
          <a:satMod val="175000"/>
          <a:alpha val="40000"/>
        </a:schemeClr>
      </a:glow>
    </a:effectLst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Weight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300">
              <a:solidFill>
                <a:schemeClr val="accent2">
                  <a:lumMod val="50000"/>
                </a:schemeClr>
              </a:solidFill>
            </a:defRPr>
          </a:pPr>
          <a:r>
            <a:rPr lang="en-US" sz="1300" b="1" i="0" u="none" strike="noStrike" baseline="0">
              <a:solidFill>
                <a:schemeClr val="accent2">
                  <a:lumMod val="50000"/>
                </a:schemeClr>
              </a:solidFill>
              <a:latin typeface="Calibri" panose="020F0502020204030204"/>
            </a:rPr>
            <a:t>Weight Distribution</a:t>
          </a:r>
        </a:p>
      </cx:txPr>
    </cx:title>
    <cx:plotArea>
      <cx:plotAreaRegion>
        <cx:series layoutId="clusteredColumn" uniqueId="{00000000-25CF-4443-BE21-70262B07B729}">
          <cx:tx>
            <cx:txData>
              <cx:f>_xlchart.v1.0</cx:f>
              <cx:v>Weight_KG</cx:v>
            </cx:txData>
          </cx:tx>
          <cx:spPr>
            <a:ln w="3175">
              <a:solidFill>
                <a:schemeClr val="tx1"/>
              </a:solidFill>
            </a:ln>
          </cx:spPr>
          <cx:dataId val="0"/>
          <cx:layoutPr>
            <cx:binning intervalClosed="r"/>
          </cx:layoutPr>
        </cx:series>
      </cx:plotAreaRegion>
      <cx:axis id="0" hidden="1">
        <cx:catScaling gapWidth="0"/>
        <cx:title>
          <cx:tx>
            <cx:txData>
              <cx:v>Weight (KG)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chemeClr val="accent4">
                      <a:lumMod val="50000"/>
                    </a:schemeClr>
                  </a:solidFill>
                </a:defRPr>
              </a:pPr>
              <a:r>
                <a:rPr lang="en-US" sz="1000" b="1" i="0" u="none" strike="noStrike" baseline="0">
                  <a:solidFill>
                    <a:schemeClr val="accent4">
                      <a:lumMod val="50000"/>
                    </a:schemeClr>
                  </a:solidFill>
                  <a:latin typeface="Calibri" panose="020F0502020204030204"/>
                </a:rPr>
                <a:t>Weight (KG)</a:t>
              </a:r>
            </a:p>
          </cx:txPr>
        </cx:title>
        <cx:majorTickMarks type="out"/>
        <cx:tickLabels/>
      </cx:axis>
      <cx:axis id="1">
        <cx:valScaling/>
        <cx:title>
          <cx:tx>
            <cx:txData>
              <cx:v>Axis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bg1"/>
                  </a:solidFill>
                </a:defRPr>
              </a:pPr>
              <a:r>
                <a:rPr lang="en-US" sz="900" b="0" i="0" u="none" strike="noStrike" baseline="0">
                  <a:solidFill>
                    <a:schemeClr val="bg1"/>
                  </a:solidFill>
                  <a:latin typeface="Calibri" panose="020F0502020204030204"/>
                </a:rPr>
                <a:t>Axis </a:t>
              </a:r>
            </a:p>
          </cx:txPr>
        </cx:title>
        <cx:majorTickMarks type="out"/>
        <cx:tickLabels/>
      </cx:axis>
    </cx:plotArea>
  </cx:chart>
  <cx:spPr>
    <a:ln>
      <a:noFill/>
    </a:ln>
    <a:effectLst>
      <a:glow rad="63500">
        <a:schemeClr val="accent3">
          <a:satMod val="175000"/>
          <a:alpha val="40000"/>
        </a:schemeClr>
      </a:glow>
    </a:effectLst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_xlchart.v1.9</cx:f>
      </cx:numDim>
    </cx:data>
    <cx:data id="2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>
                <a:solidFill>
                  <a:schemeClr val="accent2">
                    <a:lumMod val="50000"/>
                  </a:schemeClr>
                </a:solidFill>
              </a:defRPr>
            </a:pPr>
            <a:r>
              <a:rPr lang="en-US" sz="13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Calibri" panose="020F0502020204030204"/>
                <a:cs typeface="Calibri" panose="020F0502020204030204" pitchFamily="34" charset="0"/>
              </a:rPr>
              <a:t>Pcs</a:t>
            </a:r>
            <a:r>
              <a:rPr lang="en-US" sz="1300" b="1" i="0" baseline="0">
                <a:solidFill>
                  <a:schemeClr val="accent2">
                    <a:lumMod val="50000"/>
                  </a:schemeClr>
                </a:solidFill>
                <a:effectLst/>
              </a:rPr>
              <a:t> </a:t>
            </a:r>
            <a:r>
              <a:rPr lang="en-US" sz="1300" b="1" i="0" baseline="0">
                <a:solidFill>
                  <a:schemeClr val="accent2">
                    <a:lumMod val="50000"/>
                  </a:schemeClr>
                </a:solidFill>
                <a:effectLst/>
                <a:latin typeface="+mn-lt"/>
              </a:rPr>
              <a:t>VS Declared Value</a:t>
            </a:r>
            <a:endParaRPr lang="en-US" sz="1300">
              <a:solidFill>
                <a:schemeClr val="accent2">
                  <a:lumMod val="50000"/>
                </a:schemeClr>
              </a:solidFill>
              <a:effectLst/>
              <a:latin typeface="+mn-lt"/>
            </a:endParaRPr>
          </a:p>
        </cx:rich>
      </cx:tx>
    </cx:title>
    <cx:plotArea>
      <cx:plotAreaRegion>
        <cx:series layoutId="boxWhisker" uniqueId="{0B437B1C-0AE3-4B45-9324-6ECFD75CD79B}">
          <cx:tx>
            <cx:txData>
              <cx:f>_xlchart.v1.4</cx:f>
              <cx:v>PCS_1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D5C00373-0593-47DE-9F0E-750F86AB804F}">
          <cx:tx>
            <cx:txData>
              <cx:f>_xlchart.v1.8</cx:f>
              <cx:v>PCS_2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8E408ADD-7A51-4A7C-8DDF-3866BB6E5667}">
          <cx:tx>
            <cx:txData>
              <cx:f>_xlchart.v1.6</cx:f>
              <cx:v>PCS_3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accent2">
                    <a:lumMod val="5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solidFill>
                <a:schemeClr val="accent2">
                  <a:lumMod val="50000"/>
                </a:schemeClr>
              </a:solidFill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accent2">
                    <a:lumMod val="5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solidFill>
                <a:schemeClr val="accent2">
                  <a:lumMod val="50000"/>
                </a:schemeClr>
              </a:solidFill>
            </a:endParaRPr>
          </a:p>
        </cx:txPr>
      </cx:axis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accent2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>
            <a:solidFill>
              <a:schemeClr val="accent2">
                <a:lumMod val="50000"/>
              </a:schemeClr>
            </a:solidFill>
          </a:endParaRPr>
        </a:p>
      </cx:txPr>
    </cx:legend>
  </cx:chart>
  <cx:spPr>
    <a:effectLst>
      <a:glow rad="63500">
        <a:schemeClr val="accent3">
          <a:satMod val="175000"/>
          <a:alpha val="40000"/>
        </a:schemeClr>
      </a:glo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4.xml"/><Relationship Id="rId11" Type="http://schemas.microsoft.com/office/2014/relationships/chartEx" Target="../charts/chartEx3.xml"/><Relationship Id="rId5" Type="http://schemas.openxmlformats.org/officeDocument/2006/relationships/chart" Target="../charts/chart3.xml"/><Relationship Id="rId10" Type="http://schemas.openxmlformats.org/officeDocument/2006/relationships/chart" Target="../charts/chart8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232945</xdr:colOff>
      <xdr:row>1</xdr:row>
      <xdr:rowOff>183816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1B86EF7-F169-472C-B4AE-60C7EC078B17}"/>
            </a:ext>
          </a:extLst>
        </xdr:cNvPr>
        <xdr:cNvSpPr/>
      </xdr:nvSpPr>
      <xdr:spPr>
        <a:xfrm>
          <a:off x="0" y="0"/>
          <a:ext cx="9986545" cy="367966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Inbound Shipment</a:t>
          </a:r>
          <a:r>
            <a:rPr lang="en-US" sz="2000" b="1" baseline="0"/>
            <a:t> Overview - Daily</a:t>
          </a:r>
          <a:endParaRPr lang="en-US" sz="2000" b="1"/>
        </a:p>
      </xdr:txBody>
    </xdr:sp>
    <xdr:clientData/>
  </xdr:twoCellAnchor>
  <xdr:twoCellAnchor>
    <xdr:from>
      <xdr:col>0</xdr:col>
      <xdr:colOff>222250</xdr:colOff>
      <xdr:row>3</xdr:row>
      <xdr:rowOff>2674</xdr:rowOff>
    </xdr:from>
    <xdr:to>
      <xdr:col>2</xdr:col>
      <xdr:colOff>579855</xdr:colOff>
      <xdr:row>5</xdr:row>
      <xdr:rowOff>167439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0982070-59B6-46F7-961C-C0D6E888D26D}"/>
            </a:ext>
          </a:extLst>
        </xdr:cNvPr>
        <xdr:cNvGrpSpPr/>
      </xdr:nvGrpSpPr>
      <xdr:grpSpPr>
        <a:xfrm>
          <a:off x="222250" y="555124"/>
          <a:ext cx="1576805" cy="533065"/>
          <a:chOff x="222250" y="552450"/>
          <a:chExt cx="1574800" cy="527050"/>
        </a:xfrm>
        <a:solidFill>
          <a:schemeClr val="bg1"/>
        </a:solidFill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29A5DFA4-EB15-B309-0474-43D42011DF0F}"/>
              </a:ext>
            </a:extLst>
          </xdr:cNvPr>
          <xdr:cNvSpPr/>
        </xdr:nvSpPr>
        <xdr:spPr>
          <a:xfrm>
            <a:off x="222250" y="552450"/>
            <a:ext cx="1574800" cy="527050"/>
          </a:xfrm>
          <a:prstGeom prst="roundRect">
            <a:avLst/>
          </a:prstGeom>
          <a:grpFill/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2D50F79-A680-A587-E6B2-4DE21BAF8D4E}"/>
              </a:ext>
            </a:extLst>
          </xdr:cNvPr>
          <xdr:cNvSpPr txBox="1"/>
        </xdr:nvSpPr>
        <xdr:spPr>
          <a:xfrm>
            <a:off x="260350" y="577850"/>
            <a:ext cx="1504950" cy="2286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300" b="1">
                <a:solidFill>
                  <a:srgbClr val="663300"/>
                </a:solidFill>
              </a:rPr>
              <a:t>Total Packages</a:t>
            </a:r>
          </a:p>
        </xdr:txBody>
      </xdr:sp>
      <xdr:sp macro="" textlink="Pivot_Data!B1">
        <xdr:nvSpPr>
          <xdr:cNvPr id="6" name="TextBox 5">
            <a:extLst>
              <a:ext uri="{FF2B5EF4-FFF2-40B4-BE49-F238E27FC236}">
                <a16:creationId xmlns:a16="http://schemas.microsoft.com/office/drawing/2014/main" id="{5CD2D332-8927-D02E-EF5D-2562164DC84E}"/>
              </a:ext>
            </a:extLst>
          </xdr:cNvPr>
          <xdr:cNvSpPr txBox="1"/>
        </xdr:nvSpPr>
        <xdr:spPr>
          <a:xfrm>
            <a:off x="527050" y="825500"/>
            <a:ext cx="977900" cy="1905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C30B5EC-C1B0-463B-968F-0BA3929E16C3}" type="TxLink">
              <a:rPr lang="en-US" sz="16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150</a:t>
            </a:fld>
            <a:endParaRPr lang="en-US" sz="1600" b="1"/>
          </a:p>
        </xdr:txBody>
      </xdr:sp>
    </xdr:grpSp>
    <xdr:clientData/>
  </xdr:twoCellAnchor>
  <xdr:twoCellAnchor>
    <xdr:from>
      <xdr:col>3</xdr:col>
      <xdr:colOff>62832</xdr:colOff>
      <xdr:row>3</xdr:row>
      <xdr:rowOff>9024</xdr:rowOff>
    </xdr:from>
    <xdr:to>
      <xdr:col>5</xdr:col>
      <xdr:colOff>417095</xdr:colOff>
      <xdr:row>5</xdr:row>
      <xdr:rowOff>173789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51D2433F-8658-42AE-A15B-8B35566F2F5F}"/>
            </a:ext>
          </a:extLst>
        </xdr:cNvPr>
        <xdr:cNvGrpSpPr/>
      </xdr:nvGrpSpPr>
      <xdr:grpSpPr>
        <a:xfrm>
          <a:off x="1891632" y="561474"/>
          <a:ext cx="1573463" cy="533065"/>
          <a:chOff x="222250" y="552450"/>
          <a:chExt cx="1574800" cy="527050"/>
        </a:xfrm>
        <a:solidFill>
          <a:schemeClr val="bg1"/>
        </a:solidFill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078F37DF-CFCD-43CA-831A-350F603D34DA}"/>
              </a:ext>
            </a:extLst>
          </xdr:cNvPr>
          <xdr:cNvSpPr/>
        </xdr:nvSpPr>
        <xdr:spPr>
          <a:xfrm>
            <a:off x="222250" y="552450"/>
            <a:ext cx="1574800" cy="527050"/>
          </a:xfrm>
          <a:prstGeom prst="roundRect">
            <a:avLst/>
          </a:prstGeom>
          <a:grpFill/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95C023C4-3BA4-B8C0-C9B7-7D7C4B56DFE1}"/>
              </a:ext>
            </a:extLst>
          </xdr:cNvPr>
          <xdr:cNvSpPr txBox="1"/>
        </xdr:nvSpPr>
        <xdr:spPr>
          <a:xfrm>
            <a:off x="260350" y="577850"/>
            <a:ext cx="1504950" cy="19685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300" b="1">
                <a:solidFill>
                  <a:schemeClr val="accent2">
                    <a:lumMod val="50000"/>
                  </a:schemeClr>
                </a:solidFill>
              </a:rPr>
              <a:t>Single Packages</a:t>
            </a:r>
          </a:p>
        </xdr:txBody>
      </xdr:sp>
      <xdr:sp macro="" textlink="Pivot_Data!B2">
        <xdr:nvSpPr>
          <xdr:cNvPr id="10" name="TextBox 9">
            <a:extLst>
              <a:ext uri="{FF2B5EF4-FFF2-40B4-BE49-F238E27FC236}">
                <a16:creationId xmlns:a16="http://schemas.microsoft.com/office/drawing/2014/main" id="{04C8C155-2DA2-AECD-5293-F0D39B48D15E}"/>
              </a:ext>
            </a:extLst>
          </xdr:cNvPr>
          <xdr:cNvSpPr txBox="1"/>
        </xdr:nvSpPr>
        <xdr:spPr>
          <a:xfrm>
            <a:off x="527050" y="825500"/>
            <a:ext cx="977900" cy="1905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79FE8EF2-ED75-421F-A1CD-9A649E90AAE6}" type="TxLink">
              <a:rPr lang="en-US" sz="16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57</a:t>
            </a:fld>
            <a:endParaRPr lang="en-US" sz="1600" b="1"/>
          </a:p>
        </xdr:txBody>
      </xdr:sp>
    </xdr:grpSp>
    <xdr:clientData/>
  </xdr:twoCellAnchor>
  <xdr:twoCellAnchor>
    <xdr:from>
      <xdr:col>5</xdr:col>
      <xdr:colOff>512345</xdr:colOff>
      <xdr:row>3</xdr:row>
      <xdr:rowOff>9024</xdr:rowOff>
    </xdr:from>
    <xdr:to>
      <xdr:col>8</xdr:col>
      <xdr:colOff>258345</xdr:colOff>
      <xdr:row>5</xdr:row>
      <xdr:rowOff>173789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D3E135CA-4B74-4DD0-84AF-BB4F1D65CC3E}"/>
            </a:ext>
          </a:extLst>
        </xdr:cNvPr>
        <xdr:cNvGrpSpPr/>
      </xdr:nvGrpSpPr>
      <xdr:grpSpPr>
        <a:xfrm>
          <a:off x="3560345" y="561474"/>
          <a:ext cx="1574800" cy="533065"/>
          <a:chOff x="222250" y="552450"/>
          <a:chExt cx="1574800" cy="527050"/>
        </a:xfrm>
        <a:solidFill>
          <a:schemeClr val="bg1"/>
        </a:solidFill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40EB7294-81EA-5C51-1F15-6EF93B4060F0}"/>
              </a:ext>
            </a:extLst>
          </xdr:cNvPr>
          <xdr:cNvSpPr/>
        </xdr:nvSpPr>
        <xdr:spPr>
          <a:xfrm>
            <a:off x="222250" y="552450"/>
            <a:ext cx="1574800" cy="527050"/>
          </a:xfrm>
          <a:prstGeom prst="roundRect">
            <a:avLst/>
          </a:prstGeom>
          <a:grpFill/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953A7531-CB25-9F9E-3705-36772B36FEF0}"/>
              </a:ext>
            </a:extLst>
          </xdr:cNvPr>
          <xdr:cNvSpPr txBox="1"/>
        </xdr:nvSpPr>
        <xdr:spPr>
          <a:xfrm>
            <a:off x="260350" y="565150"/>
            <a:ext cx="1504950" cy="22225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300" b="1">
                <a:solidFill>
                  <a:schemeClr val="accent2">
                    <a:lumMod val="50000"/>
                  </a:schemeClr>
                </a:solidFill>
              </a:rPr>
              <a:t>Multiple Packages</a:t>
            </a:r>
          </a:p>
        </xdr:txBody>
      </xdr:sp>
      <xdr:sp macro="" textlink="Pivot_Data!B3">
        <xdr:nvSpPr>
          <xdr:cNvPr id="14" name="TextBox 13">
            <a:extLst>
              <a:ext uri="{FF2B5EF4-FFF2-40B4-BE49-F238E27FC236}">
                <a16:creationId xmlns:a16="http://schemas.microsoft.com/office/drawing/2014/main" id="{AB56255D-5041-8B58-6C5F-1386C0A2E0C5}"/>
              </a:ext>
            </a:extLst>
          </xdr:cNvPr>
          <xdr:cNvSpPr txBox="1"/>
        </xdr:nvSpPr>
        <xdr:spPr>
          <a:xfrm>
            <a:off x="527050" y="825500"/>
            <a:ext cx="977900" cy="1905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412C62E-90CF-4CD4-8399-256B5CFF8CDC}" type="TxLink">
              <a:rPr lang="en-US" sz="16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93</a:t>
            </a:fld>
            <a:endParaRPr lang="en-US" sz="1600" b="1"/>
          </a:p>
        </xdr:txBody>
      </xdr:sp>
    </xdr:grpSp>
    <xdr:clientData/>
  </xdr:twoCellAnchor>
  <xdr:twoCellAnchor>
    <xdr:from>
      <xdr:col>8</xdr:col>
      <xdr:colOff>372645</xdr:colOff>
      <xdr:row>3</xdr:row>
      <xdr:rowOff>9024</xdr:rowOff>
    </xdr:from>
    <xdr:to>
      <xdr:col>11</xdr:col>
      <xdr:colOff>119982</xdr:colOff>
      <xdr:row>5</xdr:row>
      <xdr:rowOff>173789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4FF02BD3-0078-4F1A-8372-C8344B5DF3AD}"/>
            </a:ext>
          </a:extLst>
        </xdr:cNvPr>
        <xdr:cNvGrpSpPr/>
      </xdr:nvGrpSpPr>
      <xdr:grpSpPr>
        <a:xfrm>
          <a:off x="5249445" y="561474"/>
          <a:ext cx="1576137" cy="533065"/>
          <a:chOff x="222250" y="552450"/>
          <a:chExt cx="1574800" cy="527050"/>
        </a:xfrm>
        <a:solidFill>
          <a:schemeClr val="bg1"/>
        </a:solidFill>
      </xdr:grpSpPr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99268D93-20A9-77F8-41CA-D05C7D78FFD1}"/>
              </a:ext>
            </a:extLst>
          </xdr:cNvPr>
          <xdr:cNvSpPr/>
        </xdr:nvSpPr>
        <xdr:spPr>
          <a:xfrm>
            <a:off x="222250" y="552450"/>
            <a:ext cx="1574800" cy="527050"/>
          </a:xfrm>
          <a:prstGeom prst="roundRect">
            <a:avLst/>
          </a:prstGeom>
          <a:grpFill/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BB0D4CF-0B32-0330-C91D-B239A5765CCC}"/>
              </a:ext>
            </a:extLst>
          </xdr:cNvPr>
          <xdr:cNvSpPr txBox="1"/>
        </xdr:nvSpPr>
        <xdr:spPr>
          <a:xfrm>
            <a:off x="260350" y="577850"/>
            <a:ext cx="1504950" cy="20955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300" b="1">
                <a:solidFill>
                  <a:schemeClr val="accent2">
                    <a:lumMod val="50000"/>
                  </a:schemeClr>
                </a:solidFill>
              </a:rPr>
              <a:t>Total Weight</a:t>
            </a:r>
          </a:p>
        </xdr:txBody>
      </xdr:sp>
      <xdr:sp macro="" textlink="Pivot_Data!B4">
        <xdr:nvSpPr>
          <xdr:cNvPr id="18" name="TextBox 17">
            <a:extLst>
              <a:ext uri="{FF2B5EF4-FFF2-40B4-BE49-F238E27FC236}">
                <a16:creationId xmlns:a16="http://schemas.microsoft.com/office/drawing/2014/main" id="{4C57E815-8E8A-1C97-CBFB-098F96CDD647}"/>
              </a:ext>
            </a:extLst>
          </xdr:cNvPr>
          <xdr:cNvSpPr txBox="1"/>
        </xdr:nvSpPr>
        <xdr:spPr>
          <a:xfrm>
            <a:off x="527050" y="825500"/>
            <a:ext cx="977900" cy="1905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343D4D6-DA06-4DC5-A84F-9558110853B3}" type="TxLink">
              <a:rPr lang="en-US" sz="16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351.78</a:t>
            </a:fld>
            <a:endParaRPr lang="en-US" sz="1600" b="1"/>
          </a:p>
        </xdr:txBody>
      </xdr:sp>
    </xdr:grpSp>
    <xdr:clientData/>
  </xdr:twoCellAnchor>
  <xdr:twoCellAnchor>
    <xdr:from>
      <xdr:col>11</xdr:col>
      <xdr:colOff>221582</xdr:colOff>
      <xdr:row>3</xdr:row>
      <xdr:rowOff>9024</xdr:rowOff>
    </xdr:from>
    <xdr:to>
      <xdr:col>14</xdr:col>
      <xdr:colOff>236287</xdr:colOff>
      <xdr:row>5</xdr:row>
      <xdr:rowOff>173789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5AA213A8-4F19-4550-93F1-35065FF3198A}"/>
            </a:ext>
          </a:extLst>
        </xdr:cNvPr>
        <xdr:cNvGrpSpPr/>
      </xdr:nvGrpSpPr>
      <xdr:grpSpPr>
        <a:xfrm>
          <a:off x="6927182" y="561474"/>
          <a:ext cx="1843505" cy="533065"/>
          <a:chOff x="222250" y="552450"/>
          <a:chExt cx="1574800" cy="527050"/>
        </a:xfrm>
        <a:solidFill>
          <a:schemeClr val="bg1"/>
        </a:solidFill>
      </xdr:grpSpPr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80C78184-6BAD-F126-C02C-1874FAA59529}"/>
              </a:ext>
            </a:extLst>
          </xdr:cNvPr>
          <xdr:cNvSpPr/>
        </xdr:nvSpPr>
        <xdr:spPr>
          <a:xfrm>
            <a:off x="222250" y="552450"/>
            <a:ext cx="1574800" cy="527050"/>
          </a:xfrm>
          <a:prstGeom prst="roundRect">
            <a:avLst/>
          </a:prstGeom>
          <a:grpFill/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1A16936B-C4B2-CBFB-0E00-8815EC8736F4}"/>
              </a:ext>
            </a:extLst>
          </xdr:cNvPr>
          <xdr:cNvSpPr txBox="1"/>
        </xdr:nvSpPr>
        <xdr:spPr>
          <a:xfrm>
            <a:off x="260350" y="577850"/>
            <a:ext cx="1504950" cy="20955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300" b="1">
                <a:solidFill>
                  <a:schemeClr val="accent2">
                    <a:lumMod val="50000"/>
                  </a:schemeClr>
                </a:solidFill>
              </a:rPr>
              <a:t>Total Declared Value </a:t>
            </a:r>
          </a:p>
        </xdr:txBody>
      </xdr:sp>
      <xdr:sp macro="" textlink="Pivot_Data!B5">
        <xdr:nvSpPr>
          <xdr:cNvPr id="22" name="TextBox 21">
            <a:extLst>
              <a:ext uri="{FF2B5EF4-FFF2-40B4-BE49-F238E27FC236}">
                <a16:creationId xmlns:a16="http://schemas.microsoft.com/office/drawing/2014/main" id="{DE4F373C-D138-5BF2-614A-19A7760238B6}"/>
              </a:ext>
            </a:extLst>
          </xdr:cNvPr>
          <xdr:cNvSpPr txBox="1"/>
        </xdr:nvSpPr>
        <xdr:spPr>
          <a:xfrm>
            <a:off x="527050" y="806450"/>
            <a:ext cx="977900" cy="2159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2ADF405-7FFB-4749-9EE6-4D94687713E6}" type="TxLink">
              <a:rPr lang="en-US" sz="1600" b="1" i="0" u="none" strike="noStrike">
                <a:solidFill>
                  <a:sysClr val="windowText" lastClr="000000"/>
                </a:solidFill>
                <a:latin typeface="Calibri"/>
                <a:cs typeface="Calibri"/>
              </a:rPr>
              <a:pPr algn="ctr"/>
              <a:t>8472.75</a:t>
            </a:fld>
            <a:endParaRPr lang="en-US" sz="16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</xdr:col>
      <xdr:colOff>141111</xdr:colOff>
      <xdr:row>7</xdr:row>
      <xdr:rowOff>14705</xdr:rowOff>
    </xdr:from>
    <xdr:to>
      <xdr:col>4</xdr:col>
      <xdr:colOff>409396</xdr:colOff>
      <xdr:row>9</xdr:row>
      <xdr:rowOff>73011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2FCC9860-368E-44D8-A4FF-90ABD2296B96}"/>
            </a:ext>
          </a:extLst>
        </xdr:cNvPr>
        <xdr:cNvGrpSpPr/>
      </xdr:nvGrpSpPr>
      <xdr:grpSpPr>
        <a:xfrm>
          <a:off x="1360311" y="1303755"/>
          <a:ext cx="1487485" cy="426606"/>
          <a:chOff x="222250" y="552450"/>
          <a:chExt cx="1574800" cy="527050"/>
        </a:xfrm>
        <a:solidFill>
          <a:schemeClr val="bg1"/>
        </a:solidFill>
      </xdr:grpSpPr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F64C85FE-536E-58F3-308B-C3F2552BBB1C}"/>
              </a:ext>
            </a:extLst>
          </xdr:cNvPr>
          <xdr:cNvSpPr/>
        </xdr:nvSpPr>
        <xdr:spPr>
          <a:xfrm>
            <a:off x="222250" y="552450"/>
            <a:ext cx="1574800" cy="527050"/>
          </a:xfrm>
          <a:prstGeom prst="roundRect">
            <a:avLst/>
          </a:prstGeom>
          <a:grpFill/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F2433DA4-70D5-D6E9-08C5-895CA5FF0496}"/>
              </a:ext>
            </a:extLst>
          </xdr:cNvPr>
          <xdr:cNvSpPr txBox="1"/>
        </xdr:nvSpPr>
        <xdr:spPr>
          <a:xfrm>
            <a:off x="260350" y="577850"/>
            <a:ext cx="1504950" cy="2286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300" b="1">
                <a:solidFill>
                  <a:schemeClr val="accent2">
                    <a:lumMod val="50000"/>
                  </a:schemeClr>
                </a:solidFill>
              </a:rPr>
              <a:t>Unique Shippers</a:t>
            </a:r>
          </a:p>
        </xdr:txBody>
      </xdr:sp>
      <xdr:sp macro="" textlink="Pivot_Data!B6">
        <xdr:nvSpPr>
          <xdr:cNvPr id="26" name="TextBox 25">
            <a:extLst>
              <a:ext uri="{FF2B5EF4-FFF2-40B4-BE49-F238E27FC236}">
                <a16:creationId xmlns:a16="http://schemas.microsoft.com/office/drawing/2014/main" id="{E9921B62-AF76-02DF-C700-59335A5AFC6E}"/>
              </a:ext>
            </a:extLst>
          </xdr:cNvPr>
          <xdr:cNvSpPr txBox="1"/>
        </xdr:nvSpPr>
        <xdr:spPr>
          <a:xfrm>
            <a:off x="527050" y="825500"/>
            <a:ext cx="977900" cy="1905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0F3A5E8-C59B-4CA0-B692-A4A55A1CFB40}" type="TxLink">
              <a:rPr lang="en-US" sz="16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20</a:t>
            </a:fld>
            <a:endParaRPr lang="en-US" sz="1600" b="1"/>
          </a:p>
        </xdr:txBody>
      </xdr:sp>
    </xdr:grpSp>
    <xdr:clientData/>
  </xdr:twoCellAnchor>
  <xdr:twoCellAnchor>
    <xdr:from>
      <xdr:col>4</xdr:col>
      <xdr:colOff>533827</xdr:colOff>
      <xdr:row>7</xdr:row>
      <xdr:rowOff>14705</xdr:rowOff>
    </xdr:from>
    <xdr:to>
      <xdr:col>7</xdr:col>
      <xdr:colOff>274322</xdr:colOff>
      <xdr:row>9</xdr:row>
      <xdr:rowOff>77792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C6369C8F-3B10-40D8-810E-2530761D4DD9}"/>
            </a:ext>
          </a:extLst>
        </xdr:cNvPr>
        <xdr:cNvGrpSpPr/>
      </xdr:nvGrpSpPr>
      <xdr:grpSpPr>
        <a:xfrm>
          <a:off x="2972227" y="1303755"/>
          <a:ext cx="1569295" cy="431387"/>
          <a:chOff x="222250" y="552450"/>
          <a:chExt cx="1574800" cy="527050"/>
        </a:xfrm>
        <a:solidFill>
          <a:schemeClr val="bg1"/>
        </a:solidFill>
      </xdr:grpSpPr>
      <xdr:sp macro="" textlink="">
        <xdr:nvSpPr>
          <xdr:cNvPr id="28" name="Rectangle: Rounded Corners 27">
            <a:extLst>
              <a:ext uri="{FF2B5EF4-FFF2-40B4-BE49-F238E27FC236}">
                <a16:creationId xmlns:a16="http://schemas.microsoft.com/office/drawing/2014/main" id="{CF7363E7-6A3B-7FBB-E453-2E5C14AB57CD}"/>
              </a:ext>
            </a:extLst>
          </xdr:cNvPr>
          <xdr:cNvSpPr/>
        </xdr:nvSpPr>
        <xdr:spPr>
          <a:xfrm>
            <a:off x="222250" y="552450"/>
            <a:ext cx="1574800" cy="527050"/>
          </a:xfrm>
          <a:prstGeom prst="roundRect">
            <a:avLst/>
          </a:prstGeom>
          <a:grpFill/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81137AA1-60AF-E627-2525-9A7A2473DFB6}"/>
              </a:ext>
            </a:extLst>
          </xdr:cNvPr>
          <xdr:cNvSpPr txBox="1"/>
        </xdr:nvSpPr>
        <xdr:spPr>
          <a:xfrm>
            <a:off x="260350" y="577850"/>
            <a:ext cx="1504950" cy="2286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300" b="1">
                <a:solidFill>
                  <a:schemeClr val="accent2">
                    <a:lumMod val="50000"/>
                  </a:schemeClr>
                </a:solidFill>
              </a:rPr>
              <a:t>Unique Consignees</a:t>
            </a:r>
          </a:p>
        </xdr:txBody>
      </xdr:sp>
      <xdr:sp macro="" textlink="Pivot_Data!B7">
        <xdr:nvSpPr>
          <xdr:cNvPr id="30" name="TextBox 29">
            <a:extLst>
              <a:ext uri="{FF2B5EF4-FFF2-40B4-BE49-F238E27FC236}">
                <a16:creationId xmlns:a16="http://schemas.microsoft.com/office/drawing/2014/main" id="{D804C0D7-8180-8232-85D4-2913D40F9E57}"/>
              </a:ext>
            </a:extLst>
          </xdr:cNvPr>
          <xdr:cNvSpPr txBox="1"/>
        </xdr:nvSpPr>
        <xdr:spPr>
          <a:xfrm>
            <a:off x="527050" y="825500"/>
            <a:ext cx="977900" cy="1905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05105BE-A214-42F9-B948-C18F1602C691}" type="TxLink">
              <a:rPr lang="en-US" sz="16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3</a:t>
            </a:fld>
            <a:endParaRPr lang="en-US" sz="1600" b="1"/>
          </a:p>
        </xdr:txBody>
      </xdr:sp>
    </xdr:grpSp>
    <xdr:clientData/>
  </xdr:twoCellAnchor>
  <xdr:twoCellAnchor>
    <xdr:from>
      <xdr:col>7</xdr:col>
      <xdr:colOff>388057</xdr:colOff>
      <xdr:row>7</xdr:row>
      <xdr:rowOff>14705</xdr:rowOff>
    </xdr:from>
    <xdr:to>
      <xdr:col>11</xdr:col>
      <xdr:colOff>81391</xdr:colOff>
      <xdr:row>9</xdr:row>
      <xdr:rowOff>77789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B4519F2A-EDF6-402C-A198-906D4943D85E}"/>
            </a:ext>
          </a:extLst>
        </xdr:cNvPr>
        <xdr:cNvGrpSpPr/>
      </xdr:nvGrpSpPr>
      <xdr:grpSpPr>
        <a:xfrm>
          <a:off x="4655257" y="1303755"/>
          <a:ext cx="2131734" cy="431384"/>
          <a:chOff x="222250" y="552450"/>
          <a:chExt cx="1574800" cy="527050"/>
        </a:xfrm>
        <a:solidFill>
          <a:schemeClr val="bg1"/>
        </a:solidFill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B6329F42-B3C4-4788-6E00-2BEF9B8CB9A8}"/>
              </a:ext>
            </a:extLst>
          </xdr:cNvPr>
          <xdr:cNvSpPr/>
        </xdr:nvSpPr>
        <xdr:spPr>
          <a:xfrm>
            <a:off x="222250" y="552450"/>
            <a:ext cx="1574800" cy="527050"/>
          </a:xfrm>
          <a:prstGeom prst="roundRect">
            <a:avLst/>
          </a:prstGeom>
          <a:grpFill/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EE976F95-D7F6-A565-D7D5-4C4A1DE233FD}"/>
              </a:ext>
            </a:extLst>
          </xdr:cNvPr>
          <xdr:cNvSpPr txBox="1"/>
        </xdr:nvSpPr>
        <xdr:spPr>
          <a:xfrm>
            <a:off x="260350" y="577850"/>
            <a:ext cx="1504950" cy="2286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300" b="1">
                <a:solidFill>
                  <a:schemeClr val="accent2">
                    <a:lumMod val="50000"/>
                  </a:schemeClr>
                </a:solidFill>
              </a:rPr>
              <a:t>Missing</a:t>
            </a:r>
            <a:r>
              <a:rPr lang="en-US" sz="1300" b="1" baseline="0">
                <a:solidFill>
                  <a:schemeClr val="accent2">
                    <a:lumMod val="50000"/>
                  </a:schemeClr>
                </a:solidFill>
              </a:rPr>
              <a:t> HS Code Packages</a:t>
            </a:r>
            <a:endParaRPr lang="en-US" sz="1300" b="1">
              <a:solidFill>
                <a:schemeClr val="accent2">
                  <a:lumMod val="50000"/>
                </a:schemeClr>
              </a:solidFill>
            </a:endParaRPr>
          </a:p>
        </xdr:txBody>
      </xdr:sp>
      <xdr:sp macro="" textlink="Pivot_Data!B8">
        <xdr:nvSpPr>
          <xdr:cNvPr id="34" name="TextBox 33">
            <a:extLst>
              <a:ext uri="{FF2B5EF4-FFF2-40B4-BE49-F238E27FC236}">
                <a16:creationId xmlns:a16="http://schemas.microsoft.com/office/drawing/2014/main" id="{2BA93636-DB48-95F0-8E98-F061182D0E91}"/>
              </a:ext>
            </a:extLst>
          </xdr:cNvPr>
          <xdr:cNvSpPr txBox="1"/>
        </xdr:nvSpPr>
        <xdr:spPr>
          <a:xfrm>
            <a:off x="527050" y="825500"/>
            <a:ext cx="977900" cy="1905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C1C6443-0A96-492D-8BAA-4CD2045E418D}" type="TxLink">
              <a:rPr lang="en-US" sz="16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2</a:t>
            </a:fld>
            <a:endParaRPr lang="en-US" sz="1600" b="1"/>
          </a:p>
        </xdr:txBody>
      </xdr:sp>
    </xdr:grpSp>
    <xdr:clientData/>
  </xdr:twoCellAnchor>
  <xdr:twoCellAnchor>
    <xdr:from>
      <xdr:col>11</xdr:col>
      <xdr:colOff>226261</xdr:colOff>
      <xdr:row>7</xdr:row>
      <xdr:rowOff>8021</xdr:rowOff>
    </xdr:from>
    <xdr:to>
      <xdr:col>14</xdr:col>
      <xdr:colOff>233997</xdr:colOff>
      <xdr:row>9</xdr:row>
      <xdr:rowOff>71102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2BA4F76D-992C-4ECD-A919-4A653EEB6E6E}"/>
            </a:ext>
          </a:extLst>
        </xdr:cNvPr>
        <xdr:cNvGrpSpPr/>
      </xdr:nvGrpSpPr>
      <xdr:grpSpPr>
        <a:xfrm>
          <a:off x="6931861" y="1297071"/>
          <a:ext cx="1836536" cy="431381"/>
          <a:chOff x="222250" y="552450"/>
          <a:chExt cx="1574800" cy="527050"/>
        </a:xfrm>
        <a:solidFill>
          <a:schemeClr val="bg1"/>
        </a:solidFill>
      </xdr:grpSpPr>
      <xdr:sp macro="" textlink="">
        <xdr:nvSpPr>
          <xdr:cNvPr id="36" name="Rectangle: Rounded Corners 35">
            <a:extLst>
              <a:ext uri="{FF2B5EF4-FFF2-40B4-BE49-F238E27FC236}">
                <a16:creationId xmlns:a16="http://schemas.microsoft.com/office/drawing/2014/main" id="{D8AE7C57-8ECE-8E57-94C2-85D04B5ACDAD}"/>
              </a:ext>
            </a:extLst>
          </xdr:cNvPr>
          <xdr:cNvSpPr/>
        </xdr:nvSpPr>
        <xdr:spPr>
          <a:xfrm>
            <a:off x="222250" y="552450"/>
            <a:ext cx="1574800" cy="527050"/>
          </a:xfrm>
          <a:prstGeom prst="roundRect">
            <a:avLst/>
          </a:prstGeom>
          <a:grpFill/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71F86F85-CEAC-4900-71D4-DF5A0E26C64E}"/>
              </a:ext>
            </a:extLst>
          </xdr:cNvPr>
          <xdr:cNvSpPr txBox="1"/>
        </xdr:nvSpPr>
        <xdr:spPr>
          <a:xfrm>
            <a:off x="260350" y="577850"/>
            <a:ext cx="1504950" cy="2286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300" b="1">
                <a:solidFill>
                  <a:schemeClr val="accent2">
                    <a:lumMod val="50000"/>
                  </a:schemeClr>
                </a:solidFill>
              </a:rPr>
              <a:t>Misrouted</a:t>
            </a:r>
            <a:r>
              <a:rPr lang="en-US" sz="1300" b="1" baseline="0">
                <a:solidFill>
                  <a:schemeClr val="accent2">
                    <a:lumMod val="50000"/>
                  </a:schemeClr>
                </a:solidFill>
              </a:rPr>
              <a:t> Packages</a:t>
            </a:r>
            <a:endParaRPr lang="en-US" sz="1300" b="1">
              <a:solidFill>
                <a:schemeClr val="accent2">
                  <a:lumMod val="50000"/>
                </a:schemeClr>
              </a:solidFill>
            </a:endParaRPr>
          </a:p>
        </xdr:txBody>
      </xdr:sp>
      <xdr:sp macro="" textlink="Pivot_Data!B9">
        <xdr:nvSpPr>
          <xdr:cNvPr id="38" name="TextBox 37">
            <a:extLst>
              <a:ext uri="{FF2B5EF4-FFF2-40B4-BE49-F238E27FC236}">
                <a16:creationId xmlns:a16="http://schemas.microsoft.com/office/drawing/2014/main" id="{7B074672-BBDD-6DB8-5AAF-AACBEBF4D438}"/>
              </a:ext>
            </a:extLst>
          </xdr:cNvPr>
          <xdr:cNvSpPr txBox="1"/>
        </xdr:nvSpPr>
        <xdr:spPr>
          <a:xfrm>
            <a:off x="527050" y="825500"/>
            <a:ext cx="977900" cy="1905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07BCA0D-86D9-45F3-81E3-66B1D909D804}" type="TxLink">
              <a:rPr lang="en-US" sz="16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2</a:t>
            </a:fld>
            <a:endParaRPr lang="en-US" sz="1600" b="1"/>
          </a:p>
        </xdr:txBody>
      </xdr:sp>
    </xdr:grpSp>
    <xdr:clientData/>
  </xdr:twoCellAnchor>
  <xdr:twoCellAnchor>
    <xdr:from>
      <xdr:col>0</xdr:col>
      <xdr:colOff>334</xdr:colOff>
      <xdr:row>6</xdr:row>
      <xdr:rowOff>172118</xdr:rowOff>
    </xdr:from>
    <xdr:to>
      <xdr:col>2</xdr:col>
      <xdr:colOff>0</xdr:colOff>
      <xdr:row>9</xdr:row>
      <xdr:rowOff>67511</xdr:rowOff>
    </xdr:to>
    <xdr:sp macro="" textlink="">
      <xdr:nvSpPr>
        <xdr:cNvPr id="39" name="Arrow: Pentagon 38">
          <a:extLst>
            <a:ext uri="{FF2B5EF4-FFF2-40B4-BE49-F238E27FC236}">
              <a16:creationId xmlns:a16="http://schemas.microsoft.com/office/drawing/2014/main" id="{2DE5A545-6F85-41D5-B9F3-E5DC6EE6C901}"/>
            </a:ext>
          </a:extLst>
        </xdr:cNvPr>
        <xdr:cNvSpPr/>
      </xdr:nvSpPr>
      <xdr:spPr>
        <a:xfrm>
          <a:off x="334" y="1272785"/>
          <a:ext cx="1213222" cy="445726"/>
        </a:xfrm>
        <a:prstGeom prst="homePlate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C00000"/>
              </a:solidFill>
            </a:rPr>
            <a:t>Data Quality &amp; Network KPIs</a:t>
          </a:r>
        </a:p>
      </xdr:txBody>
    </xdr:sp>
    <xdr:clientData/>
  </xdr:twoCellAnchor>
  <xdr:twoCellAnchor>
    <xdr:from>
      <xdr:col>0</xdr:col>
      <xdr:colOff>82550</xdr:colOff>
      <xdr:row>25</xdr:row>
      <xdr:rowOff>0</xdr:rowOff>
    </xdr:from>
    <xdr:to>
      <xdr:col>6</xdr:col>
      <xdr:colOff>393700</xdr:colOff>
      <xdr:row>37</xdr:row>
      <xdr:rowOff>74195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0" name="Chart 39">
              <a:extLst>
                <a:ext uri="{FF2B5EF4-FFF2-40B4-BE49-F238E27FC236}">
                  <a16:creationId xmlns:a16="http://schemas.microsoft.com/office/drawing/2014/main" id="{640E0563-6D43-44C0-956F-5A182E645B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50" y="4629150"/>
              <a:ext cx="3968750" cy="2283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546100</xdr:colOff>
      <xdr:row>25</xdr:row>
      <xdr:rowOff>0</xdr:rowOff>
    </xdr:from>
    <xdr:to>
      <xdr:col>14</xdr:col>
      <xdr:colOff>285750</xdr:colOff>
      <xdr:row>37</xdr:row>
      <xdr:rowOff>74195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1" name="Chart 40">
              <a:extLst>
                <a:ext uri="{FF2B5EF4-FFF2-40B4-BE49-F238E27FC236}">
                  <a16:creationId xmlns:a16="http://schemas.microsoft.com/office/drawing/2014/main" id="{65CCDFC0-406B-4F50-8E87-583734A5DC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03700" y="4629150"/>
              <a:ext cx="4616450" cy="2283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73025</xdr:colOff>
      <xdr:row>38</xdr:row>
      <xdr:rowOff>39103</xdr:rowOff>
    </xdr:from>
    <xdr:to>
      <xdr:col>6</xdr:col>
      <xdr:colOff>393700</xdr:colOff>
      <xdr:row>53</xdr:row>
      <xdr:rowOff>62163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C1FAE793-5FA8-468E-AFB8-78673B6C3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552784</xdr:colOff>
      <xdr:row>38</xdr:row>
      <xdr:rowOff>39103</xdr:rowOff>
    </xdr:from>
    <xdr:to>
      <xdr:col>14</xdr:col>
      <xdr:colOff>260350</xdr:colOff>
      <xdr:row>53</xdr:row>
      <xdr:rowOff>62163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1A1C8897-F71D-4D44-996C-07289D969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50800</xdr:colOff>
      <xdr:row>54</xdr:row>
      <xdr:rowOff>71521</xdr:rowOff>
    </xdr:from>
    <xdr:to>
      <xdr:col>6</xdr:col>
      <xdr:colOff>387350</xdr:colOff>
      <xdr:row>69</xdr:row>
      <xdr:rowOff>97590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B94564C9-5C2C-4BED-B9DA-87DF8F207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34925</xdr:colOff>
      <xdr:row>70</xdr:row>
      <xdr:rowOff>135355</xdr:rowOff>
    </xdr:from>
    <xdr:to>
      <xdr:col>6</xdr:col>
      <xdr:colOff>374984</xdr:colOff>
      <xdr:row>85</xdr:row>
      <xdr:rowOff>180474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22EDAB6-E7CA-4154-B008-8D80E2393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514684</xdr:colOff>
      <xdr:row>70</xdr:row>
      <xdr:rowOff>141705</xdr:rowOff>
    </xdr:from>
    <xdr:to>
      <xdr:col>14</xdr:col>
      <xdr:colOff>461712</xdr:colOff>
      <xdr:row>85</xdr:row>
      <xdr:rowOff>164766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831A3924-B037-484F-ACF4-7D0A6C6AD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19050</xdr:colOff>
      <xdr:row>86</xdr:row>
      <xdr:rowOff>177132</xdr:rowOff>
    </xdr:from>
    <xdr:to>
      <xdr:col>6</xdr:col>
      <xdr:colOff>359109</xdr:colOff>
      <xdr:row>102</xdr:row>
      <xdr:rowOff>38100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37670A5D-3B72-4E14-A89D-494796210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527384</xdr:colOff>
      <xdr:row>86</xdr:row>
      <xdr:rowOff>177132</xdr:rowOff>
    </xdr:from>
    <xdr:to>
      <xdr:col>14</xdr:col>
      <xdr:colOff>474412</xdr:colOff>
      <xdr:row>102</xdr:row>
      <xdr:rowOff>38100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14D78103-AD75-4C83-9683-A50C35ACE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527384</xdr:colOff>
      <xdr:row>103</xdr:row>
      <xdr:rowOff>41108</xdr:rowOff>
    </xdr:from>
    <xdr:to>
      <xdr:col>14</xdr:col>
      <xdr:colOff>502987</xdr:colOff>
      <xdr:row>118</xdr:row>
      <xdr:rowOff>70519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C4277BD-0E71-499D-ACFE-37FB73F11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103</xdr:row>
      <xdr:rowOff>41108</xdr:rowOff>
    </xdr:from>
    <xdr:to>
      <xdr:col>6</xdr:col>
      <xdr:colOff>343234</xdr:colOff>
      <xdr:row>118</xdr:row>
      <xdr:rowOff>64169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0" name="Chart 49">
              <a:extLst>
                <a:ext uri="{FF2B5EF4-FFF2-40B4-BE49-F238E27FC236}">
                  <a16:creationId xmlns:a16="http://schemas.microsoft.com/office/drawing/2014/main" id="{3FB2C437-0877-4CA6-A8EF-68656CAF56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033958"/>
              <a:ext cx="4000834" cy="27853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udi Senevirathna" refreshedDate="46020.571726388887" backgroundQuery="1" createdVersion="8" refreshedVersion="8" minRefreshableVersion="3" recordCount="0" supportSubquery="1" supportAdvancedDrill="1" xr:uid="{9C4F362F-56A7-4D29-9223-50C47237D4A9}">
  <cacheSource type="external" connectionId="3"/>
  <cacheFields count="9">
    <cacheField name="[Measures].[Total Packages]" caption="Total Packages" numFmtId="0" hierarchy="17" level="32767"/>
    <cacheField name="[Measures].[Single Packages]" caption="Single Packages" numFmtId="0" hierarchy="18" level="32767"/>
    <cacheField name="[Measures].[Multiple Packages]" caption="Multiple Packages" numFmtId="0" hierarchy="19" level="32767"/>
    <cacheField name="[Measures].[Total Weight]" caption="Total Weight" numFmtId="0" hierarchy="20" level="32767"/>
    <cacheField name="[Measures].[Total Value]" caption="Total Value" numFmtId="0" hierarchy="21" level="32767"/>
    <cacheField name="[Measures].[No of Shipper Companies]" caption="No of Shipper Companies" numFmtId="0" hierarchy="22" level="32767"/>
    <cacheField name="[Measures].[No of Consignees LK]" caption="No of Consignees LK" numFmtId="0" hierarchy="23" level="32767"/>
    <cacheField name="[Measures].[No of HS Invalid Pckgs]" caption="No of HS Invalid Pckgs" numFmtId="0" hierarchy="24" level="32767"/>
    <cacheField name="[Measures].[Misrouted Shipments]" caption="Misrouted Shipments" numFmtId="0" hierarchy="25" level="32767"/>
  </cacheFields>
  <cacheHierarchies count="33">
    <cacheHierarchy uniqueName="[Table1].[Origin]" caption="Origin" attribute="1" defaultMemberUniqueName="[Table1].[Origin].[All]" allUniqueName="[Table1].[Origin].[All]" dimensionUniqueName="[Table1]" displayFolder="" count="0" memberValueDatatype="130" unbalanced="0"/>
    <cacheHierarchy uniqueName="[Table1].[HAWB]" caption="HAWB" attribute="1" defaultMemberUniqueName="[Table1].[HAWB].[All]" allUniqueName="[Table1].[HAWB].[All]" dimensionUniqueName="[Table1]" displayFolder="" count="0" memberValueDatatype="130" unbalanced="0"/>
    <cacheHierarchy uniqueName="[Table1].[Pcs]" caption="Pcs" attribute="1" defaultMemberUniqueName="[Table1].[Pcs].[All]" allUniqueName="[Table1].[Pcs].[All]" dimensionUniqueName="[Table1]" displayFolder="" count="0" memberValueDatatype="5" unbalanced="0"/>
    <cacheHierarchy uniqueName="[Table1].[Weight_KG]" caption="Weight_KG" attribute="1" defaultMemberUniqueName="[Table1].[Weight_KG].[All]" allUniqueName="[Table1].[Weight_KG].[All]" dimensionUniqueName="[Table1]" displayFolder="" count="0" memberValueDatatype="5" unbalanced="0"/>
    <cacheHierarchy uniqueName="[Table1].[Shipper]" caption="Shipper" attribute="1" defaultMemberUniqueName="[Table1].[Shipper].[All]" allUniqueName="[Table1].[Shipper].[All]" dimensionUniqueName="[Table1]" displayFolder="" count="0" memberValueDatatype="130" unbalanced="0"/>
    <cacheHierarchy uniqueName="[Table1].[Dest]" caption="Dest" attribute="1" defaultMemberUniqueName="[Table1].[Dest].[All]" allUniqueName="[Table1].[Dest].[All]" dimensionUniqueName="[Table1]" displayFolder="" count="0" memberValueDatatype="130" unbalanced="0"/>
    <cacheHierarchy uniqueName="[Table1].[Bill_Type]" caption="Bill_Type" attribute="1" defaultMemberUniqueName="[Table1].[Bill_Type].[All]" allUniqueName="[Table1].[Bill_Type].[All]" dimensionUniqueName="[Table1]" displayFolder="" count="0" memberValueDatatype="130" unbalanced="0"/>
    <cacheHierarchy uniqueName="[Table1].[Consignee]" caption="Consignee" attribute="1" defaultMemberUniqueName="[Table1].[Consignee].[All]" allUniqueName="[Table1].[Consignee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HS_Code]" caption="HS_Code" attribute="1" defaultMemberUniqueName="[Table1].[HS_Code].[All]" allUniqueName="[Table1].[HS_Code].[All]" dimensionUniqueName="[Table1]" displayFolder="" count="0" memberValueDatatype="130" unbalanced="0"/>
    <cacheHierarchy uniqueName="[Table1].[Declared_Value_USD]" caption="Declared_Value_USD" attribute="1" defaultMemberUniqueName="[Table1].[Declared_Value_USD].[All]" allUniqueName="[Table1].[Declared_Value_USD].[All]" dimensionUniqueName="[Table1]" displayFolder="" count="0" memberValueDatatype="5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PCS_1]" caption="PCS_1" attribute="1" defaultMemberUniqueName="[Table1].[PCS_1].[All]" allUniqueName="[Table1].[PCS_1].[All]" dimensionUniqueName="[Table1]" displayFolder="" count="0" memberValueDatatype="5" unbalanced="0"/>
    <cacheHierarchy uniqueName="[Table1].[PCS_3]" caption="PCS_3" attribute="1" defaultMemberUniqueName="[Table1].[PCS_3].[All]" allUniqueName="[Table1].[PCS_3].[All]" dimensionUniqueName="[Table1]" displayFolder="" count="0" memberValueDatatype="5" unbalanced="0"/>
    <cacheHierarchy uniqueName="[Table1].[PCS_2]" caption="PCS_2" attribute="1" defaultMemberUniqueName="[Table1].[PCS_2].[All]" allUniqueName="[Table1].[PCS_2].[All]" dimensionUniqueName="[Table1]" displayFolder="" count="0" memberValueDatatype="5" unbalanced="0"/>
    <cacheHierarchy uniqueName="[Table1].[HS Required]" caption="HS Required" attribute="1" defaultMemberUniqueName="[Table1].[HS Required].[All]" allUniqueName="[Table1].[HS Required].[All]" dimensionUniqueName="[Table1]" displayFolder="" count="0" memberValueDatatype="20" unbalanced="0"/>
    <cacheHierarchy uniqueName="[Table1].[HS Invalid]" caption="HS Invalid" attribute="1" defaultMemberUniqueName="[Table1].[HS Invalid].[All]" allUniqueName="[Table1].[HS Invalid].[All]" dimensionUniqueName="[Table1]" displayFolder="" count="0" memberValueDatatype="20" unbalanced="0"/>
    <cacheHierarchy uniqueName="[Measures].[Total Packages]" caption="Total Packages" measure="1" displayFolder="" measureGroup="Table1" count="0" oneField="1">
      <fieldsUsage count="1">
        <fieldUsage x="0"/>
      </fieldsUsage>
    </cacheHierarchy>
    <cacheHierarchy uniqueName="[Measures].[Single Packages]" caption="Single Packages" measure="1" displayFolder="" measureGroup="Table1" count="0" oneField="1">
      <fieldsUsage count="1">
        <fieldUsage x="1"/>
      </fieldsUsage>
    </cacheHierarchy>
    <cacheHierarchy uniqueName="[Measures].[Multiple Packages]" caption="Multiple Packages" measure="1" displayFolder="" measureGroup="Table1" count="0" oneField="1">
      <fieldsUsage count="1">
        <fieldUsage x="2"/>
      </fieldsUsage>
    </cacheHierarchy>
    <cacheHierarchy uniqueName="[Measures].[Total Weight]" caption="Total Weight" measure="1" displayFolder="" measureGroup="Table1" count="0" oneField="1">
      <fieldsUsage count="1">
        <fieldUsage x="3"/>
      </fieldsUsage>
    </cacheHierarchy>
    <cacheHierarchy uniqueName="[Measures].[Total Value]" caption="Total Value" measure="1" displayFolder="" measureGroup="Table1" count="0" oneField="1">
      <fieldsUsage count="1">
        <fieldUsage x="4"/>
      </fieldsUsage>
    </cacheHierarchy>
    <cacheHierarchy uniqueName="[Measures].[No of Shipper Companies]" caption="No of Shipper Companies" measure="1" displayFolder="" measureGroup="Table1" count="0" oneField="1">
      <fieldsUsage count="1">
        <fieldUsage x="5"/>
      </fieldsUsage>
    </cacheHierarchy>
    <cacheHierarchy uniqueName="[Measures].[No of Consignees LK]" caption="No of Consignees LK" measure="1" displayFolder="" measureGroup="Table1" count="0" oneField="1">
      <fieldsUsage count="1">
        <fieldUsage x="6"/>
      </fieldsUsage>
    </cacheHierarchy>
    <cacheHierarchy uniqueName="[Measures].[No of HS Invalid Pckgs]" caption="No of HS Invalid Pckgs" measure="1" displayFolder="" measureGroup="Table1" count="0" oneField="1">
      <fieldsUsage count="1">
        <fieldUsage x="7"/>
      </fieldsUsage>
    </cacheHierarchy>
    <cacheHierarchy uniqueName="[Measures].[Misrouted Shipments]" caption="Misrouted Shipments" measure="1" displayFolder="" measureGroup="Table1" count="0" oneField="1">
      <fieldsUsage count="1">
        <fieldUsage x="8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Declared_Value_USD]" caption="Sum of Declared_Value_USD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eight_KG]" caption="Sum of Weight_KG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HAWB]" caption="Count of HAWB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igin]" caption="Count of Origin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cs]" caption="Sum of Pcs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udi Senevirathna" refreshedDate="46021.493076273146" backgroundQuery="1" createdVersion="8" refreshedVersion="8" minRefreshableVersion="3" recordCount="0" supportSubquery="1" supportAdvancedDrill="1" xr:uid="{219A4624-FCC0-4B0B-B19E-5CEA6676FCDB}">
  <cacheSource type="external" connectionId="3"/>
  <cacheFields count="9">
    <cacheField name="[Table1].[HS Invalid].[HS Invalid]" caption="HS Invalid" numFmtId="0" hierarchy="16" level="1">
      <sharedItems containsSemiMixedTypes="0" containsNonDate="0" containsString="0"/>
    </cacheField>
    <cacheField name="[Table1].[HAWB].[HAWB]" caption="HAWB" numFmtId="0" hierarchy="1" level="1">
      <sharedItems count="2">
        <s v="HAWB00001"/>
        <s v="HAWB00026"/>
      </sharedItems>
    </cacheField>
    <cacheField name="[Table1].[Origin].[Origin]" caption="Origin" numFmtId="0" level="1">
      <sharedItems count="1">
        <s v="CN"/>
      </sharedItems>
    </cacheField>
    <cacheField name="[Table1].[Weight_KG].[Weight_KG]" caption="Weight_KG" numFmtId="0" hierarchy="3" level="1">
      <sharedItems containsSemiMixedTypes="0" containsString="0" containsNumber="1" minValue="1.08" maxValue="3.79" count="2">
        <n v="3.79"/>
        <n v="1.08"/>
      </sharedItems>
    </cacheField>
    <cacheField name="[Table1].[Product Category].[Product Category]" caption="Product Category" numFmtId="0" hierarchy="11" level="1">
      <sharedItems count="2">
        <s v="Plastics / Rubber"/>
        <s v="Other"/>
      </sharedItems>
    </cacheField>
    <cacheField name="[Table1].[Declared_Value_USD].[Declared_Value_USD]" caption="Declared_Value_USD" numFmtId="0" hierarchy="10" level="1">
      <sharedItems containsSemiMixedTypes="0" containsString="0" containsNumber="1" minValue="63.05" maxValue="143.69" count="2">
        <n v="143.69"/>
        <n v="63.05"/>
      </sharedItems>
    </cacheField>
    <cacheField name="[Table1].[Shipper].[Shipper]" caption="Shipper" numFmtId="0" hierarchy="4" level="1">
      <sharedItems count="2">
        <s v="Supplier 8"/>
        <s v="Supplier 16"/>
      </sharedItems>
    </cacheField>
    <cacheField name="[Table1].[Consignee].[Consignee]" caption="Consignee" numFmtId="0" hierarchy="7" level="1">
      <sharedItems count="1">
        <s v="ABC Apparel Pvt Ltd"/>
      </sharedItems>
    </cacheField>
    <cacheField name="[Table1].[Description].[Description]" caption="Description" numFmtId="0" hierarchy="8" level="1">
      <sharedItems count="2">
        <s v="RUBBER GASKET"/>
        <s v="ELECTRIC MOTOR"/>
      </sharedItems>
    </cacheField>
  </cacheFields>
  <cacheHierarchies count="33">
    <cacheHierarchy uniqueName="[Table1].[Origin]" caption="Origin" attribute="1" defaultMemberUniqueName="[Table1].[Origin].[All]" allUniqueName="[Table1].[Origin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HAWB]" caption="HAWB" attribute="1" defaultMemberUniqueName="[Table1].[HAWB].[All]" allUniqueName="[Table1].[HAWB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cs]" caption="Pcs" attribute="1" defaultMemberUniqueName="[Table1].[Pcs].[All]" allUniqueName="[Table1].[Pcs].[All]" dimensionUniqueName="[Table1]" displayFolder="" count="2" memberValueDatatype="5" unbalanced="0"/>
    <cacheHierarchy uniqueName="[Table1].[Weight_KG]" caption="Weight_KG" attribute="1" defaultMemberUniqueName="[Table1].[Weight_KG].[All]" allUniqueName="[Table1].[Weight_KG].[All]" dimensionUniqueName="[Table1]" displayFolder="" count="2" memberValueDatatype="5" unbalanced="0">
      <fieldsUsage count="2">
        <fieldUsage x="-1"/>
        <fieldUsage x="3"/>
      </fieldsUsage>
    </cacheHierarchy>
    <cacheHierarchy uniqueName="[Table1].[Shipper]" caption="Shipper" attribute="1" defaultMemberUniqueName="[Table1].[Shipper].[All]" allUniqueName="[Table1].[Shipper].[All]" dimensionUniqueName="[Table1]" displayFolder="" count="2" memberValueDatatype="130" unbalanced="0">
      <fieldsUsage count="2">
        <fieldUsage x="-1"/>
        <fieldUsage x="6"/>
      </fieldsUsage>
    </cacheHierarchy>
    <cacheHierarchy uniqueName="[Table1].[Dest]" caption="Dest" attribute="1" defaultMemberUniqueName="[Table1].[Dest].[All]" allUniqueName="[Table1].[Dest].[All]" dimensionUniqueName="[Table1]" displayFolder="" count="0" memberValueDatatype="130" unbalanced="0"/>
    <cacheHierarchy uniqueName="[Table1].[Bill_Type]" caption="Bill_Type" attribute="1" defaultMemberUniqueName="[Table1].[Bill_Type].[All]" allUniqueName="[Table1].[Bill_Type].[All]" dimensionUniqueName="[Table1]" displayFolder="" count="2" memberValueDatatype="130" unbalanced="0"/>
    <cacheHierarchy uniqueName="[Table1].[Consignee]" caption="Consignee" attribute="1" defaultMemberUniqueName="[Table1].[Consignee].[All]" allUniqueName="[Table1].[Consignee].[All]" dimensionUniqueName="[Table1]" displayFolder="" count="2" memberValueDatatype="130" unbalanced="0">
      <fieldsUsage count="2">
        <fieldUsage x="-1"/>
        <fieldUsage x="7"/>
      </fieldsUsage>
    </cacheHierarchy>
    <cacheHierarchy uniqueName="[Table1].[Description]" caption="Description" attribute="1" defaultMemberUniqueName="[Table1].[Description].[All]" allUniqueName="[Table1].[Description].[All]" dimensionUniqueName="[Table1]" displayFolder="" count="2" memberValueDatatype="130" unbalanced="0">
      <fieldsUsage count="2">
        <fieldUsage x="-1"/>
        <fieldUsage x="8"/>
      </fieldsUsage>
    </cacheHierarchy>
    <cacheHierarchy uniqueName="[Table1].[HS_Code]" caption="HS_Code" attribute="1" defaultMemberUniqueName="[Table1].[HS_Code].[All]" allUniqueName="[Table1].[HS_Code].[All]" dimensionUniqueName="[Table1]" displayFolder="" count="0" memberValueDatatype="130" unbalanced="0"/>
    <cacheHierarchy uniqueName="[Table1].[Declared_Value_USD]" caption="Declared_Value_USD" attribute="1" defaultMemberUniqueName="[Table1].[Declared_Value_USD].[All]" allUniqueName="[Table1].[Declared_Value_USD].[All]" dimensionUniqueName="[Table1]" displayFolder="" count="2" memberValueDatatype="5" unbalanced="0">
      <fieldsUsage count="2">
        <fieldUsage x="-1"/>
        <fieldUsage x="5"/>
      </fieldsUsage>
    </cacheHierarchy>
    <cacheHierarchy uniqueName="[Table1].[Product Category]" caption="Product Category" attribute="1" defaultMemberUniqueName="[Table1].[Product Category].[All]" allUniqueName="[Table1].[Product Category].[All]" dimensionUniqueName="[Table1]" displayFolder="" count="2" memberValueDatatype="130" unbalanced="0">
      <fieldsUsage count="2">
        <fieldUsage x="-1"/>
        <fieldUsage x="4"/>
      </fieldsUsage>
    </cacheHierarchy>
    <cacheHierarchy uniqueName="[Table1].[PCS_1]" caption="PCS_1" attribute="1" defaultMemberUniqueName="[Table1].[PCS_1].[All]" allUniqueName="[Table1].[PCS_1].[All]" dimensionUniqueName="[Table1]" displayFolder="" count="0" memberValueDatatype="5" unbalanced="0"/>
    <cacheHierarchy uniqueName="[Table1].[PCS_3]" caption="PCS_3" attribute="1" defaultMemberUniqueName="[Table1].[PCS_3].[All]" allUniqueName="[Table1].[PCS_3].[All]" dimensionUniqueName="[Table1]" displayFolder="" count="0" memberValueDatatype="5" unbalanced="0"/>
    <cacheHierarchy uniqueName="[Table1].[PCS_2]" caption="PCS_2" attribute="1" defaultMemberUniqueName="[Table1].[PCS_2].[All]" allUniqueName="[Table1].[PCS_2].[All]" dimensionUniqueName="[Table1]" displayFolder="" count="0" memberValueDatatype="5" unbalanced="0"/>
    <cacheHierarchy uniqueName="[Table1].[HS Required]" caption="HS Required" attribute="1" defaultMemberUniqueName="[Table1].[HS Required].[All]" allUniqueName="[Table1].[HS Required].[All]" dimensionUniqueName="[Table1]" displayFolder="" count="0" memberValueDatatype="20" unbalanced="0"/>
    <cacheHierarchy uniqueName="[Table1].[HS Invalid]" caption="HS Invalid" attribute="1" defaultMemberUniqueName="[Table1].[HS Invalid].[All]" allUniqueName="[Table1].[HS Invalid].[All]" dimensionUniqueName="[Table1]" displayFolder="" count="2" memberValueDatatype="20" unbalanced="0">
      <fieldsUsage count="2">
        <fieldUsage x="-1"/>
        <fieldUsage x="0"/>
      </fieldsUsage>
    </cacheHierarchy>
    <cacheHierarchy uniqueName="[Measures].[Total Packages]" caption="Total Packages" measure="1" displayFolder="" measureGroup="Table1" count="0"/>
    <cacheHierarchy uniqueName="[Measures].[Single Packages]" caption="Single Packages" measure="1" displayFolder="" measureGroup="Table1" count="0"/>
    <cacheHierarchy uniqueName="[Measures].[Multiple Packages]" caption="Multiple Packages" measure="1" displayFolder="" measureGroup="Table1" count="0"/>
    <cacheHierarchy uniqueName="[Measures].[Total Weight]" caption="Total Weight" measure="1" displayFolder="" measureGroup="Table1" count="0"/>
    <cacheHierarchy uniqueName="[Measures].[Total Value]" caption="Total Value" measure="1" displayFolder="" measureGroup="Table1" count="0"/>
    <cacheHierarchy uniqueName="[Measures].[No of Shipper Companies]" caption="No of Shipper Companies" measure="1" displayFolder="" measureGroup="Table1" count="0"/>
    <cacheHierarchy uniqueName="[Measures].[No of Consignees LK]" caption="No of Consignees LK" measure="1" displayFolder="" measureGroup="Table1" count="0"/>
    <cacheHierarchy uniqueName="[Measures].[No of HS Invalid Pckgs]" caption="No of HS Invalid Pckgs" measure="1" displayFolder="" measureGroup="Table1" count="0"/>
    <cacheHierarchy uniqueName="[Measures].[Misrouted Shipments]" caption="Misrouted Shipment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Declared_Value_USD]" caption="Sum of Declared_Value_USD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eight_KG]" caption="Sum of Weight_KG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HAWB]" caption="Count of HAWB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igin]" caption="Count of Origin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cs]" caption="Sum of Pcs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udi Senevirathna" refreshedDate="46021.508242708333" backgroundQuery="1" createdVersion="8" refreshedVersion="8" minRefreshableVersion="3" recordCount="0" supportSubquery="1" supportAdvancedDrill="1" xr:uid="{14E71B29-ECC3-4605-99A3-26754F211997}">
  <cacheSource type="external" connectionId="3"/>
  <cacheFields count="6">
    <cacheField name="[Table1].[HAWB].[HAWB]" caption="HAWB" numFmtId="0" hierarchy="1" level="1">
      <sharedItems count="2">
        <s v="HAWB00009"/>
        <s v="HAWB00043"/>
      </sharedItems>
    </cacheField>
    <cacheField name="[Table1].[Dest].[Dest]" caption="Dest" numFmtId="0" hierarchy="5" level="1">
      <sharedItems count="2">
        <s v="MV"/>
        <s v="AU"/>
      </sharedItems>
    </cacheField>
    <cacheField name="[Table1].[Origin].[Origin]" caption="Origin" numFmtId="0" level="1">
      <sharedItems count="2">
        <s v="IN"/>
        <s v="CN"/>
      </sharedItems>
    </cacheField>
    <cacheField name="[Table1].[Description].[Description]" caption="Description" numFmtId="0" hierarchy="8" level="1">
      <sharedItems count="2">
        <s v="LACE"/>
        <s v="BEARING"/>
      </sharedItems>
    </cacheField>
    <cacheField name="[Table1].[Product Category].[Product Category]" caption="Product Category" numFmtId="0" hierarchy="11" level="1">
      <sharedItems count="2">
        <s v="Textile / Apparel"/>
        <s v="Other"/>
      </sharedItems>
    </cacheField>
    <cacheField name="[Table1].[Declared_Value_USD].[Declared_Value_USD]" caption="Declared_Value_USD" numFmtId="0" hierarchy="10" level="1">
      <sharedItems containsSemiMixedTypes="0" containsString="0" containsNumber="1" minValue="55.05" maxValue="71.209999999999994" count="2">
        <n v="55.05"/>
        <n v="71.209999999999994"/>
      </sharedItems>
    </cacheField>
  </cacheFields>
  <cacheHierarchies count="33">
    <cacheHierarchy uniqueName="[Table1].[Origin]" caption="Origin" attribute="1" defaultMemberUniqueName="[Table1].[Origin].[All]" allUniqueName="[Table1].[Origin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HAWB]" caption="HAWB" attribute="1" defaultMemberUniqueName="[Table1].[HAWB].[All]" allUniqueName="[Table1].[HAWB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cs]" caption="Pcs" attribute="1" defaultMemberUniqueName="[Table1].[Pcs].[All]" allUniqueName="[Table1].[Pcs].[All]" dimensionUniqueName="[Table1]" displayFolder="" count="0" memberValueDatatype="5" unbalanced="0"/>
    <cacheHierarchy uniqueName="[Table1].[Weight_KG]" caption="Weight_KG" attribute="1" defaultMemberUniqueName="[Table1].[Weight_KG].[All]" allUniqueName="[Table1].[Weight_KG].[All]" dimensionUniqueName="[Table1]" displayFolder="" count="0" memberValueDatatype="5" unbalanced="0"/>
    <cacheHierarchy uniqueName="[Table1].[Shipper]" caption="Shipper" attribute="1" defaultMemberUniqueName="[Table1].[Shipper].[All]" allUniqueName="[Table1].[Shipper].[All]" dimensionUniqueName="[Table1]" displayFolder="" count="0" memberValueDatatype="130" unbalanced="0"/>
    <cacheHierarchy uniqueName="[Table1].[Dest]" caption="Dest" attribute="1" defaultMemberUniqueName="[Table1].[Dest].[All]" allUniqueName="[Table1].[Des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Bill_Type]" caption="Bill_Type" attribute="1" defaultMemberUniqueName="[Table1].[Bill_Type].[All]" allUniqueName="[Table1].[Bill_Type].[All]" dimensionUniqueName="[Table1]" displayFolder="" count="0" memberValueDatatype="130" unbalanced="0"/>
    <cacheHierarchy uniqueName="[Table1].[Consignee]" caption="Consignee" attribute="1" defaultMemberUniqueName="[Table1].[Consignee].[All]" allUniqueName="[Table1].[Consignee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HS_Code]" caption="HS_Code" attribute="1" defaultMemberUniqueName="[Table1].[HS_Code].[All]" allUniqueName="[Table1].[HS_Code].[All]" dimensionUniqueName="[Table1]" displayFolder="" count="0" memberValueDatatype="130" unbalanced="0"/>
    <cacheHierarchy uniqueName="[Table1].[Declared_Value_USD]" caption="Declared_Value_USD" attribute="1" defaultMemberUniqueName="[Table1].[Declared_Value_USD].[All]" allUniqueName="[Table1].[Declared_Value_USD].[All]" dimensionUniqueName="[Table1]" displayFolder="" count="2" memberValueDatatype="5" unbalanced="0">
      <fieldsUsage count="2">
        <fieldUsage x="-1"/>
        <fieldUsage x="5"/>
      </fieldsUsage>
    </cacheHierarchy>
    <cacheHierarchy uniqueName="[Table1].[Product Category]" caption="Product Category" attribute="1" defaultMemberUniqueName="[Table1].[Product Category].[All]" allUniqueName="[Table1].[Product Category].[All]" dimensionUniqueName="[Table1]" displayFolder="" count="2" memberValueDatatype="130" unbalanced="0">
      <fieldsUsage count="2">
        <fieldUsage x="-1"/>
        <fieldUsage x="4"/>
      </fieldsUsage>
    </cacheHierarchy>
    <cacheHierarchy uniqueName="[Table1].[PCS_1]" caption="PCS_1" attribute="1" defaultMemberUniqueName="[Table1].[PCS_1].[All]" allUniqueName="[Table1].[PCS_1].[All]" dimensionUniqueName="[Table1]" displayFolder="" count="0" memberValueDatatype="5" unbalanced="0"/>
    <cacheHierarchy uniqueName="[Table1].[PCS_3]" caption="PCS_3" attribute="1" defaultMemberUniqueName="[Table1].[PCS_3].[All]" allUniqueName="[Table1].[PCS_3].[All]" dimensionUniqueName="[Table1]" displayFolder="" count="0" memberValueDatatype="5" unbalanced="0"/>
    <cacheHierarchy uniqueName="[Table1].[PCS_2]" caption="PCS_2" attribute="1" defaultMemberUniqueName="[Table1].[PCS_2].[All]" allUniqueName="[Table1].[PCS_2].[All]" dimensionUniqueName="[Table1]" displayFolder="" count="0" memberValueDatatype="5" unbalanced="0"/>
    <cacheHierarchy uniqueName="[Table1].[HS Required]" caption="HS Required" attribute="1" defaultMemberUniqueName="[Table1].[HS Required].[All]" allUniqueName="[Table1].[HS Required].[All]" dimensionUniqueName="[Table1]" displayFolder="" count="0" memberValueDatatype="20" unbalanced="0"/>
    <cacheHierarchy uniqueName="[Table1].[HS Invalid]" caption="HS Invalid" attribute="1" defaultMemberUniqueName="[Table1].[HS Invalid].[All]" allUniqueName="[Table1].[HS Invalid].[All]" dimensionUniqueName="[Table1]" displayFolder="" count="0" memberValueDatatype="20" unbalanced="0"/>
    <cacheHierarchy uniqueName="[Measures].[Total Packages]" caption="Total Packages" measure="1" displayFolder="" measureGroup="Table1" count="0"/>
    <cacheHierarchy uniqueName="[Measures].[Single Packages]" caption="Single Packages" measure="1" displayFolder="" measureGroup="Table1" count="0"/>
    <cacheHierarchy uniqueName="[Measures].[Multiple Packages]" caption="Multiple Packages" measure="1" displayFolder="" measureGroup="Table1" count="0"/>
    <cacheHierarchy uniqueName="[Measures].[Total Weight]" caption="Total Weight" measure="1" displayFolder="" measureGroup="Table1" count="0"/>
    <cacheHierarchy uniqueName="[Measures].[Total Value]" caption="Total Value" measure="1" displayFolder="" measureGroup="Table1" count="0"/>
    <cacheHierarchy uniqueName="[Measures].[No of Shipper Companies]" caption="No of Shipper Companies" measure="1" displayFolder="" measureGroup="Table1" count="0"/>
    <cacheHierarchy uniqueName="[Measures].[No of Consignees LK]" caption="No of Consignees LK" measure="1" displayFolder="" measureGroup="Table1" count="0"/>
    <cacheHierarchy uniqueName="[Measures].[No of HS Invalid Pckgs]" caption="No of HS Invalid Pckgs" measure="1" displayFolder="" measureGroup="Table1" count="0"/>
    <cacheHierarchy uniqueName="[Measures].[Misrouted Shipments]" caption="Misrouted Shipment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Declared_Value_USD]" caption="Sum of Declared_Value_USD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eight_KG]" caption="Sum of Weight_KG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HAWB]" caption="Count of HAWB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igin]" caption="Count of Origin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cs]" caption="Sum of Pcs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udi Senevirathna" refreshedDate="46020.52775115741" backgroundQuery="1" createdVersion="8" refreshedVersion="8" minRefreshableVersion="3" recordCount="0" supportSubquery="1" supportAdvancedDrill="1" xr:uid="{A5A5BA82-1679-48F6-86A2-957CE84015A1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e1].[Origin].[Origin]" caption="Origin" numFmtId="0" level="1">
      <sharedItems count="4">
        <s v="CN"/>
        <s v="IN"/>
        <s v="TH"/>
        <s v="VN"/>
      </sharedItems>
    </cacheField>
    <cacheField name="[Measures].[Total Weight]" caption="Total Weight" numFmtId="0" hierarchy="20" level="32767"/>
  </cacheFields>
  <cacheHierarchies count="33">
    <cacheHierarchy uniqueName="[Table1].[Origin]" caption="Origin" attribute="1" defaultMemberUniqueName="[Table1].[Origin].[All]" allUniqueName="[Table1].[Origi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HAWB]" caption="HAWB" attribute="1" defaultMemberUniqueName="[Table1].[HAWB].[All]" allUniqueName="[Table1].[HAWB].[All]" dimensionUniqueName="[Table1]" displayFolder="" count="0" memberValueDatatype="130" unbalanced="0"/>
    <cacheHierarchy uniqueName="[Table1].[Pcs]" caption="Pcs" attribute="1" defaultMemberUniqueName="[Table1].[Pcs].[All]" allUniqueName="[Table1].[Pcs].[All]" dimensionUniqueName="[Table1]" displayFolder="" count="0" memberValueDatatype="5" unbalanced="0"/>
    <cacheHierarchy uniqueName="[Table1].[Weight_KG]" caption="Weight_KG" attribute="1" defaultMemberUniqueName="[Table1].[Weight_KG].[All]" allUniqueName="[Table1].[Weight_KG].[All]" dimensionUniqueName="[Table1]" displayFolder="" count="0" memberValueDatatype="5" unbalanced="0"/>
    <cacheHierarchy uniqueName="[Table1].[Shipper]" caption="Shipper" attribute="1" defaultMemberUniqueName="[Table1].[Shipper].[All]" allUniqueName="[Table1].[Shipper].[All]" dimensionUniqueName="[Table1]" displayFolder="" count="0" memberValueDatatype="130" unbalanced="0"/>
    <cacheHierarchy uniqueName="[Table1].[Dest]" caption="Dest" attribute="1" defaultMemberUniqueName="[Table1].[Dest].[All]" allUniqueName="[Table1].[Dest].[All]" dimensionUniqueName="[Table1]" displayFolder="" count="0" memberValueDatatype="130" unbalanced="0"/>
    <cacheHierarchy uniqueName="[Table1].[Bill_Type]" caption="Bill_Type" attribute="1" defaultMemberUniqueName="[Table1].[Bill_Type].[All]" allUniqueName="[Table1].[Bill_Type].[All]" dimensionUniqueName="[Table1]" displayFolder="" count="0" memberValueDatatype="130" unbalanced="0"/>
    <cacheHierarchy uniqueName="[Table1].[Consignee]" caption="Consignee" attribute="1" defaultMemberUniqueName="[Table1].[Consignee].[All]" allUniqueName="[Table1].[Consignee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HS_Code]" caption="HS_Code" attribute="1" defaultMemberUniqueName="[Table1].[HS_Code].[All]" allUniqueName="[Table1].[HS_Code].[All]" dimensionUniqueName="[Table1]" displayFolder="" count="0" memberValueDatatype="130" unbalanced="0"/>
    <cacheHierarchy uniqueName="[Table1].[Declared_Value_USD]" caption="Declared_Value_USD" attribute="1" defaultMemberUniqueName="[Table1].[Declared_Value_USD].[All]" allUniqueName="[Table1].[Declared_Value_USD].[All]" dimensionUniqueName="[Table1]" displayFolder="" count="0" memberValueDatatype="5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PCS_1]" caption="PCS_1" attribute="1" defaultMemberUniqueName="[Table1].[PCS_1].[All]" allUniqueName="[Table1].[PCS_1].[All]" dimensionUniqueName="[Table1]" displayFolder="" count="0" memberValueDatatype="5" unbalanced="0"/>
    <cacheHierarchy uniqueName="[Table1].[PCS_3]" caption="PCS_3" attribute="1" defaultMemberUniqueName="[Table1].[PCS_3].[All]" allUniqueName="[Table1].[PCS_3].[All]" dimensionUniqueName="[Table1]" displayFolder="" count="0" memberValueDatatype="5" unbalanced="0"/>
    <cacheHierarchy uniqueName="[Table1].[PCS_2]" caption="PCS_2" attribute="1" defaultMemberUniqueName="[Table1].[PCS_2].[All]" allUniqueName="[Table1].[PCS_2].[All]" dimensionUniqueName="[Table1]" displayFolder="" count="0" memberValueDatatype="5" unbalanced="0"/>
    <cacheHierarchy uniqueName="[Table1].[HS Required]" caption="HS Required" attribute="1" defaultMemberUniqueName="[Table1].[HS Required].[All]" allUniqueName="[Table1].[HS Required].[All]" dimensionUniqueName="[Table1]" displayFolder="" count="0" memberValueDatatype="20" unbalanced="0"/>
    <cacheHierarchy uniqueName="[Table1].[HS Invalid]" caption="HS Invalid" attribute="1" defaultMemberUniqueName="[Table1].[HS Invalid].[All]" allUniqueName="[Table1].[HS Invalid].[All]" dimensionUniqueName="[Table1]" displayFolder="" count="0" memberValueDatatype="20" unbalanced="0"/>
    <cacheHierarchy uniqueName="[Measures].[Total Packages]" caption="Total Packages" measure="1" displayFolder="" measureGroup="Table1" count="0"/>
    <cacheHierarchy uniqueName="[Measures].[Single Packages]" caption="Single Packages" measure="1" displayFolder="" measureGroup="Table1" count="0"/>
    <cacheHierarchy uniqueName="[Measures].[Multiple Packages]" caption="Multiple Packages" measure="1" displayFolder="" measureGroup="Table1" count="0"/>
    <cacheHierarchy uniqueName="[Measures].[Total Weight]" caption="Total Weight" measure="1" displayFolder="" measureGroup="Table1" count="0" oneField="1">
      <fieldsUsage count="1">
        <fieldUsage x="1"/>
      </fieldsUsage>
    </cacheHierarchy>
    <cacheHierarchy uniqueName="[Measures].[Total Value]" caption="Total Value" measure="1" displayFolder="" measureGroup="Table1" count="0"/>
    <cacheHierarchy uniqueName="[Measures].[No of Shipper Companies]" caption="No of Shipper Companies" measure="1" displayFolder="" measureGroup="Table1" count="0"/>
    <cacheHierarchy uniqueName="[Measures].[No of Consignees LK]" caption="No of Consignees LK" measure="1" displayFolder="" measureGroup="Table1" count="0"/>
    <cacheHierarchy uniqueName="[Measures].[No of HS Invalid Pckgs]" caption="No of HS Invalid Pckgs" measure="1" displayFolder="" measureGroup="Table1" count="0"/>
    <cacheHierarchy uniqueName="[Measures].[Misrouted Shipments]" caption="Misrouted Shipment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Declared_Value_USD]" caption="Sum of Declared_Value_USD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eight_KG]" caption="Sum of Weight_KG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HAWB]" caption="Count of HAWB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igin]" caption="Count of Origin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cs]" caption="Sum of Pcs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69385347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udi Senevirathna" refreshedDate="46020.527752546295" backgroundQuery="1" createdVersion="8" refreshedVersion="8" minRefreshableVersion="3" recordCount="0" supportSubquery="1" supportAdvancedDrill="1" xr:uid="{573D33B9-9D8F-4E29-8169-F53FDCDDBF39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e1].[Origin].[Origin]" caption="Origin" numFmtId="0" level="1">
      <sharedItems count="4">
        <s v="CN"/>
        <s v="IN"/>
        <s v="TH"/>
        <s v="VN"/>
      </sharedItems>
    </cacheField>
    <cacheField name="[Measures].[Total Value]" caption="Total Value" numFmtId="0" hierarchy="21" level="32767"/>
  </cacheFields>
  <cacheHierarchies count="33">
    <cacheHierarchy uniqueName="[Table1].[Origin]" caption="Origin" attribute="1" defaultMemberUniqueName="[Table1].[Origin].[All]" allUniqueName="[Table1].[Origi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HAWB]" caption="HAWB" attribute="1" defaultMemberUniqueName="[Table1].[HAWB].[All]" allUniqueName="[Table1].[HAWB].[All]" dimensionUniqueName="[Table1]" displayFolder="" count="0" memberValueDatatype="130" unbalanced="0"/>
    <cacheHierarchy uniqueName="[Table1].[Pcs]" caption="Pcs" attribute="1" defaultMemberUniqueName="[Table1].[Pcs].[All]" allUniqueName="[Table1].[Pcs].[All]" dimensionUniqueName="[Table1]" displayFolder="" count="0" memberValueDatatype="5" unbalanced="0"/>
    <cacheHierarchy uniqueName="[Table1].[Weight_KG]" caption="Weight_KG" attribute="1" defaultMemberUniqueName="[Table1].[Weight_KG].[All]" allUniqueName="[Table1].[Weight_KG].[All]" dimensionUniqueName="[Table1]" displayFolder="" count="0" memberValueDatatype="5" unbalanced="0"/>
    <cacheHierarchy uniqueName="[Table1].[Shipper]" caption="Shipper" attribute="1" defaultMemberUniqueName="[Table1].[Shipper].[All]" allUniqueName="[Table1].[Shipper].[All]" dimensionUniqueName="[Table1]" displayFolder="" count="0" memberValueDatatype="130" unbalanced="0"/>
    <cacheHierarchy uniqueName="[Table1].[Dest]" caption="Dest" attribute="1" defaultMemberUniqueName="[Table1].[Dest].[All]" allUniqueName="[Table1].[Dest].[All]" dimensionUniqueName="[Table1]" displayFolder="" count="0" memberValueDatatype="130" unbalanced="0"/>
    <cacheHierarchy uniqueName="[Table1].[Bill_Type]" caption="Bill_Type" attribute="1" defaultMemberUniqueName="[Table1].[Bill_Type].[All]" allUniqueName="[Table1].[Bill_Type].[All]" dimensionUniqueName="[Table1]" displayFolder="" count="0" memberValueDatatype="130" unbalanced="0"/>
    <cacheHierarchy uniqueName="[Table1].[Consignee]" caption="Consignee" attribute="1" defaultMemberUniqueName="[Table1].[Consignee].[All]" allUniqueName="[Table1].[Consignee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HS_Code]" caption="HS_Code" attribute="1" defaultMemberUniqueName="[Table1].[HS_Code].[All]" allUniqueName="[Table1].[HS_Code].[All]" dimensionUniqueName="[Table1]" displayFolder="" count="0" memberValueDatatype="130" unbalanced="0"/>
    <cacheHierarchy uniqueName="[Table1].[Declared_Value_USD]" caption="Declared_Value_USD" attribute="1" defaultMemberUniqueName="[Table1].[Declared_Value_USD].[All]" allUniqueName="[Table1].[Declared_Value_USD].[All]" dimensionUniqueName="[Table1]" displayFolder="" count="0" memberValueDatatype="5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PCS_1]" caption="PCS_1" attribute="1" defaultMemberUniqueName="[Table1].[PCS_1].[All]" allUniqueName="[Table1].[PCS_1].[All]" dimensionUniqueName="[Table1]" displayFolder="" count="0" memberValueDatatype="5" unbalanced="0"/>
    <cacheHierarchy uniqueName="[Table1].[PCS_3]" caption="PCS_3" attribute="1" defaultMemberUniqueName="[Table1].[PCS_3].[All]" allUniqueName="[Table1].[PCS_3].[All]" dimensionUniqueName="[Table1]" displayFolder="" count="0" memberValueDatatype="5" unbalanced="0"/>
    <cacheHierarchy uniqueName="[Table1].[PCS_2]" caption="PCS_2" attribute="1" defaultMemberUniqueName="[Table1].[PCS_2].[All]" allUniqueName="[Table1].[PCS_2].[All]" dimensionUniqueName="[Table1]" displayFolder="" count="0" memberValueDatatype="5" unbalanced="0"/>
    <cacheHierarchy uniqueName="[Table1].[HS Required]" caption="HS Required" attribute="1" defaultMemberUniqueName="[Table1].[HS Required].[All]" allUniqueName="[Table1].[HS Required].[All]" dimensionUniqueName="[Table1]" displayFolder="" count="0" memberValueDatatype="20" unbalanced="0"/>
    <cacheHierarchy uniqueName="[Table1].[HS Invalid]" caption="HS Invalid" attribute="1" defaultMemberUniqueName="[Table1].[HS Invalid].[All]" allUniqueName="[Table1].[HS Invalid].[All]" dimensionUniqueName="[Table1]" displayFolder="" count="0" memberValueDatatype="20" unbalanced="0"/>
    <cacheHierarchy uniqueName="[Measures].[Total Packages]" caption="Total Packages" measure="1" displayFolder="" measureGroup="Table1" count="0"/>
    <cacheHierarchy uniqueName="[Measures].[Single Packages]" caption="Single Packages" measure="1" displayFolder="" measureGroup="Table1" count="0"/>
    <cacheHierarchy uniqueName="[Measures].[Multiple Packages]" caption="Multiple Packages" measure="1" displayFolder="" measureGroup="Table1" count="0"/>
    <cacheHierarchy uniqueName="[Measures].[Total Weight]" caption="Total Weight" measure="1" displayFolder="" measureGroup="Table1" count="0"/>
    <cacheHierarchy uniqueName="[Measures].[Total Value]" caption="Total Value" measure="1" displayFolder="" measureGroup="Table1" count="0" oneField="1">
      <fieldsUsage count="1">
        <fieldUsage x="1"/>
      </fieldsUsage>
    </cacheHierarchy>
    <cacheHierarchy uniqueName="[Measures].[No of Shipper Companies]" caption="No of Shipper Companies" measure="1" displayFolder="" measureGroup="Table1" count="0"/>
    <cacheHierarchy uniqueName="[Measures].[No of Consignees LK]" caption="No of Consignees LK" measure="1" displayFolder="" measureGroup="Table1" count="0"/>
    <cacheHierarchy uniqueName="[Measures].[No of HS Invalid Pckgs]" caption="No of HS Invalid Pckgs" measure="1" displayFolder="" measureGroup="Table1" count="0"/>
    <cacheHierarchy uniqueName="[Measures].[Misrouted Shipments]" caption="Misrouted Shipment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Declared_Value_USD]" caption="Sum of Declared_Value_USD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eight_KG]" caption="Sum of Weight_KG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HAWB]" caption="Count of HAWB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igin]" caption="Count of Origin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cs]" caption="Sum of Pcs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24267448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udi Senevirathna" refreshedDate="46020.527753703704" backgroundQuery="1" createdVersion="8" refreshedVersion="8" minRefreshableVersion="3" recordCount="0" supportSubquery="1" supportAdvancedDrill="1" xr:uid="{DFC9430E-2F8E-4926-BF5D-CA22281EBC2B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Total Value]" caption="Total Value" numFmtId="0" hierarchy="21" level="32767"/>
    <cacheField name="[Table1].[Product Category].[Product Category]" caption="Product Category" numFmtId="0" hierarchy="11" level="1">
      <sharedItems count="4">
        <s v="Machinery / Parts"/>
        <s v="Other"/>
        <s v="Plastics / Rubber"/>
        <s v="Textile / Apparel"/>
      </sharedItems>
    </cacheField>
  </cacheFields>
  <cacheHierarchies count="33">
    <cacheHierarchy uniqueName="[Table1].[Origin]" caption="Origin" attribute="1" defaultMemberUniqueName="[Table1].[Origin].[All]" allUniqueName="[Table1].[Origin].[All]" dimensionUniqueName="[Table1]" displayFolder="" count="0" memberValueDatatype="130" unbalanced="0"/>
    <cacheHierarchy uniqueName="[Table1].[HAWB]" caption="HAWB" attribute="1" defaultMemberUniqueName="[Table1].[HAWB].[All]" allUniqueName="[Table1].[HAWB].[All]" dimensionUniqueName="[Table1]" displayFolder="" count="0" memberValueDatatype="130" unbalanced="0"/>
    <cacheHierarchy uniqueName="[Table1].[Pcs]" caption="Pcs" attribute="1" defaultMemberUniqueName="[Table1].[Pcs].[All]" allUniqueName="[Table1].[Pcs].[All]" dimensionUniqueName="[Table1]" displayFolder="" count="0" memberValueDatatype="5" unbalanced="0"/>
    <cacheHierarchy uniqueName="[Table1].[Weight_KG]" caption="Weight_KG" attribute="1" defaultMemberUniqueName="[Table1].[Weight_KG].[All]" allUniqueName="[Table1].[Weight_KG].[All]" dimensionUniqueName="[Table1]" displayFolder="" count="0" memberValueDatatype="5" unbalanced="0"/>
    <cacheHierarchy uniqueName="[Table1].[Shipper]" caption="Shipper" attribute="1" defaultMemberUniqueName="[Table1].[Shipper].[All]" allUniqueName="[Table1].[Shipper].[All]" dimensionUniqueName="[Table1]" displayFolder="" count="0" memberValueDatatype="130" unbalanced="0"/>
    <cacheHierarchy uniqueName="[Table1].[Dest]" caption="Dest" attribute="1" defaultMemberUniqueName="[Table1].[Dest].[All]" allUniqueName="[Table1].[Dest].[All]" dimensionUniqueName="[Table1]" displayFolder="" count="0" memberValueDatatype="130" unbalanced="0"/>
    <cacheHierarchy uniqueName="[Table1].[Bill_Type]" caption="Bill_Type" attribute="1" defaultMemberUniqueName="[Table1].[Bill_Type].[All]" allUniqueName="[Table1].[Bill_Type].[All]" dimensionUniqueName="[Table1]" displayFolder="" count="0" memberValueDatatype="130" unbalanced="0"/>
    <cacheHierarchy uniqueName="[Table1].[Consignee]" caption="Consignee" attribute="1" defaultMemberUniqueName="[Table1].[Consignee].[All]" allUniqueName="[Table1].[Consignee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HS_Code]" caption="HS_Code" attribute="1" defaultMemberUniqueName="[Table1].[HS_Code].[All]" allUniqueName="[Table1].[HS_Code].[All]" dimensionUniqueName="[Table1]" displayFolder="" count="0" memberValueDatatype="130" unbalanced="0"/>
    <cacheHierarchy uniqueName="[Table1].[Declared_Value_USD]" caption="Declared_Value_USD" attribute="1" defaultMemberUniqueName="[Table1].[Declared_Value_USD].[All]" allUniqueName="[Table1].[Declared_Value_USD].[All]" dimensionUniqueName="[Table1]" displayFolder="" count="0" memberValueDatatype="5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CS_1]" caption="PCS_1" attribute="1" defaultMemberUniqueName="[Table1].[PCS_1].[All]" allUniqueName="[Table1].[PCS_1].[All]" dimensionUniqueName="[Table1]" displayFolder="" count="0" memberValueDatatype="5" unbalanced="0"/>
    <cacheHierarchy uniqueName="[Table1].[PCS_3]" caption="PCS_3" attribute="1" defaultMemberUniqueName="[Table1].[PCS_3].[All]" allUniqueName="[Table1].[PCS_3].[All]" dimensionUniqueName="[Table1]" displayFolder="" count="0" memberValueDatatype="5" unbalanced="0"/>
    <cacheHierarchy uniqueName="[Table1].[PCS_2]" caption="PCS_2" attribute="1" defaultMemberUniqueName="[Table1].[PCS_2].[All]" allUniqueName="[Table1].[PCS_2].[All]" dimensionUniqueName="[Table1]" displayFolder="" count="0" memberValueDatatype="5" unbalanced="0"/>
    <cacheHierarchy uniqueName="[Table1].[HS Required]" caption="HS Required" attribute="1" defaultMemberUniqueName="[Table1].[HS Required].[All]" allUniqueName="[Table1].[HS Required].[All]" dimensionUniqueName="[Table1]" displayFolder="" count="0" memberValueDatatype="20" unbalanced="0"/>
    <cacheHierarchy uniqueName="[Table1].[HS Invalid]" caption="HS Invalid" attribute="1" defaultMemberUniqueName="[Table1].[HS Invalid].[All]" allUniqueName="[Table1].[HS Invalid].[All]" dimensionUniqueName="[Table1]" displayFolder="" count="0" memberValueDatatype="20" unbalanced="0"/>
    <cacheHierarchy uniqueName="[Measures].[Total Packages]" caption="Total Packages" measure="1" displayFolder="" measureGroup="Table1" count="0"/>
    <cacheHierarchy uniqueName="[Measures].[Single Packages]" caption="Single Packages" measure="1" displayFolder="" measureGroup="Table1" count="0"/>
    <cacheHierarchy uniqueName="[Measures].[Multiple Packages]" caption="Multiple Packages" measure="1" displayFolder="" measureGroup="Table1" count="0"/>
    <cacheHierarchy uniqueName="[Measures].[Total Weight]" caption="Total Weight" measure="1" displayFolder="" measureGroup="Table1" count="0"/>
    <cacheHierarchy uniqueName="[Measures].[Total Value]" caption="Total Value" measure="1" displayFolder="" measureGroup="Table1" count="0" oneField="1">
      <fieldsUsage count="1">
        <fieldUsage x="0"/>
      </fieldsUsage>
    </cacheHierarchy>
    <cacheHierarchy uniqueName="[Measures].[No of Shipper Companies]" caption="No of Shipper Companies" measure="1" displayFolder="" measureGroup="Table1" count="0"/>
    <cacheHierarchy uniqueName="[Measures].[No of Consignees LK]" caption="No of Consignees LK" measure="1" displayFolder="" measureGroup="Table1" count="0"/>
    <cacheHierarchy uniqueName="[Measures].[No of HS Invalid Pckgs]" caption="No of HS Invalid Pckgs" measure="1" displayFolder="" measureGroup="Table1" count="0"/>
    <cacheHierarchy uniqueName="[Measures].[Misrouted Shipments]" caption="Misrouted Shipment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Declared_Value_USD]" caption="Sum of Declared_Value_USD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eight_KG]" caption="Sum of Weight_KG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HAWB]" caption="Count of HAWB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igin]" caption="Count of Origin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cs]" caption="Sum of Pcs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27885718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udi Senevirathna" refreshedDate="46020.527748958331" backgroundQuery="1" createdVersion="8" refreshedVersion="8" minRefreshableVersion="3" recordCount="0" supportSubquery="1" supportAdvancedDrill="1" xr:uid="{B0D8A502-1FFA-488F-992C-FD8AA400AA0C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e1].[Product Category].[Product Category]" caption="Product Category" numFmtId="0" hierarchy="11" level="1">
      <sharedItems count="4">
        <s v="Machinery / Parts"/>
        <s v="Other"/>
        <s v="Plastics / Rubber"/>
        <s v="Textile / Apparel"/>
      </sharedItems>
    </cacheField>
    <cacheField name="[Measures].[Sum of Weight_KG]" caption="Sum of Weight_KG" numFmtId="0" hierarchy="29" level="32767"/>
  </cacheFields>
  <cacheHierarchies count="33">
    <cacheHierarchy uniqueName="[Table1].[Origin]" caption="Origin" attribute="1" defaultMemberUniqueName="[Table1].[Origin].[All]" allUniqueName="[Table1].[Origin].[All]" dimensionUniqueName="[Table1]" displayFolder="" count="0" memberValueDatatype="130" unbalanced="0"/>
    <cacheHierarchy uniqueName="[Table1].[HAWB]" caption="HAWB" attribute="1" defaultMemberUniqueName="[Table1].[HAWB].[All]" allUniqueName="[Table1].[HAWB].[All]" dimensionUniqueName="[Table1]" displayFolder="" count="0" memberValueDatatype="130" unbalanced="0"/>
    <cacheHierarchy uniqueName="[Table1].[Pcs]" caption="Pcs" attribute="1" defaultMemberUniqueName="[Table1].[Pcs].[All]" allUniqueName="[Table1].[Pcs].[All]" dimensionUniqueName="[Table1]" displayFolder="" count="0" memberValueDatatype="5" unbalanced="0"/>
    <cacheHierarchy uniqueName="[Table1].[Weight_KG]" caption="Weight_KG" attribute="1" defaultMemberUniqueName="[Table1].[Weight_KG].[All]" allUniqueName="[Table1].[Weight_KG].[All]" dimensionUniqueName="[Table1]" displayFolder="" count="0" memberValueDatatype="5" unbalanced="0"/>
    <cacheHierarchy uniqueName="[Table1].[Shipper]" caption="Shipper" attribute="1" defaultMemberUniqueName="[Table1].[Shipper].[All]" allUniqueName="[Table1].[Shipper].[All]" dimensionUniqueName="[Table1]" displayFolder="" count="0" memberValueDatatype="130" unbalanced="0"/>
    <cacheHierarchy uniqueName="[Table1].[Dest]" caption="Dest" attribute="1" defaultMemberUniqueName="[Table1].[Dest].[All]" allUniqueName="[Table1].[Dest].[All]" dimensionUniqueName="[Table1]" displayFolder="" count="0" memberValueDatatype="130" unbalanced="0"/>
    <cacheHierarchy uniqueName="[Table1].[Bill_Type]" caption="Bill_Type" attribute="1" defaultMemberUniqueName="[Table1].[Bill_Type].[All]" allUniqueName="[Table1].[Bill_Type].[All]" dimensionUniqueName="[Table1]" displayFolder="" count="0" memberValueDatatype="130" unbalanced="0"/>
    <cacheHierarchy uniqueName="[Table1].[Consignee]" caption="Consignee" attribute="1" defaultMemberUniqueName="[Table1].[Consignee].[All]" allUniqueName="[Table1].[Consignee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HS_Code]" caption="HS_Code" attribute="1" defaultMemberUniqueName="[Table1].[HS_Code].[All]" allUniqueName="[Table1].[HS_Code].[All]" dimensionUniqueName="[Table1]" displayFolder="" count="0" memberValueDatatype="130" unbalanced="0"/>
    <cacheHierarchy uniqueName="[Table1].[Declared_Value_USD]" caption="Declared_Value_USD" attribute="1" defaultMemberUniqueName="[Table1].[Declared_Value_USD].[All]" allUniqueName="[Table1].[Declared_Value_USD].[All]" dimensionUniqueName="[Table1]" displayFolder="" count="0" memberValueDatatype="5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CS_1]" caption="PCS_1" attribute="1" defaultMemberUniqueName="[Table1].[PCS_1].[All]" allUniqueName="[Table1].[PCS_1].[All]" dimensionUniqueName="[Table1]" displayFolder="" count="0" memberValueDatatype="5" unbalanced="0"/>
    <cacheHierarchy uniqueName="[Table1].[PCS_3]" caption="PCS_3" attribute="1" defaultMemberUniqueName="[Table1].[PCS_3].[All]" allUniqueName="[Table1].[PCS_3].[All]" dimensionUniqueName="[Table1]" displayFolder="" count="0" memberValueDatatype="5" unbalanced="0"/>
    <cacheHierarchy uniqueName="[Table1].[PCS_2]" caption="PCS_2" attribute="1" defaultMemberUniqueName="[Table1].[PCS_2].[All]" allUniqueName="[Table1].[PCS_2].[All]" dimensionUniqueName="[Table1]" displayFolder="" count="0" memberValueDatatype="5" unbalanced="0"/>
    <cacheHierarchy uniqueName="[Table1].[HS Required]" caption="HS Required" attribute="1" defaultMemberUniqueName="[Table1].[HS Required].[All]" allUniqueName="[Table1].[HS Required].[All]" dimensionUniqueName="[Table1]" displayFolder="" count="0" memberValueDatatype="20" unbalanced="0"/>
    <cacheHierarchy uniqueName="[Table1].[HS Invalid]" caption="HS Invalid" attribute="1" defaultMemberUniqueName="[Table1].[HS Invalid].[All]" allUniqueName="[Table1].[HS Invalid].[All]" dimensionUniqueName="[Table1]" displayFolder="" count="0" memberValueDatatype="20" unbalanced="0"/>
    <cacheHierarchy uniqueName="[Measures].[Total Packages]" caption="Total Packages" measure="1" displayFolder="" measureGroup="Table1" count="0"/>
    <cacheHierarchy uniqueName="[Measures].[Single Packages]" caption="Single Packages" measure="1" displayFolder="" measureGroup="Table1" count="0"/>
    <cacheHierarchy uniqueName="[Measures].[Multiple Packages]" caption="Multiple Packages" measure="1" displayFolder="" measureGroup="Table1" count="0"/>
    <cacheHierarchy uniqueName="[Measures].[Total Weight]" caption="Total Weight" measure="1" displayFolder="" measureGroup="Table1" count="0"/>
    <cacheHierarchy uniqueName="[Measures].[Total Value]" caption="Total Value" measure="1" displayFolder="" measureGroup="Table1" count="0"/>
    <cacheHierarchy uniqueName="[Measures].[No of Shipper Companies]" caption="No of Shipper Companies" measure="1" displayFolder="" measureGroup="Table1" count="0"/>
    <cacheHierarchy uniqueName="[Measures].[No of Consignees LK]" caption="No of Consignees LK" measure="1" displayFolder="" measureGroup="Table1" count="0"/>
    <cacheHierarchy uniqueName="[Measures].[No of HS Invalid Pckgs]" caption="No of HS Invalid Pckgs" measure="1" displayFolder="" measureGroup="Table1" count="0"/>
    <cacheHierarchy uniqueName="[Measures].[Misrouted Shipments]" caption="Misrouted Shipment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Declared_Value_USD]" caption="Sum of Declared_Value_USD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eight_KG]" caption="Sum of Weight_KG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HAWB]" caption="Count of HAWB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igin]" caption="Count of Origin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cs]" caption="Sum of Pcs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209527135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udi Senevirathna" refreshedDate="46020.527747800923" backgroundQuery="1" createdVersion="8" refreshedVersion="8" minRefreshableVersion="3" recordCount="0" supportSubquery="1" supportAdvancedDrill="1" xr:uid="{FB0C2591-8550-4FB2-A9E1-589F629A5EE0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Measures].[Total Value]" caption="Total Value" numFmtId="0" hierarchy="21" level="32767"/>
    <cacheField name="[Table1].[Product Category].[Product Category]" caption="Product Category" numFmtId="0" hierarchy="11" level="1">
      <sharedItems count="4">
        <s v="Machinery / Parts"/>
        <s v="Other"/>
        <s v="Plastics / Rubber"/>
        <s v="Textile / Apparel"/>
      </sharedItems>
    </cacheField>
    <cacheField name="[Table1].[Consignee].[Consignee]" caption="Consignee" numFmtId="0" hierarchy="7" level="1">
      <sharedItems count="3">
        <s v="ABC Apparel Pvt Ltd"/>
        <s v="Mega Industries Ltd"/>
        <s v="Urban Living Ltd"/>
      </sharedItems>
    </cacheField>
  </cacheFields>
  <cacheHierarchies count="33">
    <cacheHierarchy uniqueName="[Table1].[Origin]" caption="Origin" attribute="1" defaultMemberUniqueName="[Table1].[Origin].[All]" allUniqueName="[Table1].[Origin].[All]" dimensionUniqueName="[Table1]" displayFolder="" count="0" memberValueDatatype="130" unbalanced="0"/>
    <cacheHierarchy uniqueName="[Table1].[HAWB]" caption="HAWB" attribute="1" defaultMemberUniqueName="[Table1].[HAWB].[All]" allUniqueName="[Table1].[HAWB].[All]" dimensionUniqueName="[Table1]" displayFolder="" count="0" memberValueDatatype="130" unbalanced="0"/>
    <cacheHierarchy uniqueName="[Table1].[Pcs]" caption="Pcs" attribute="1" defaultMemberUniqueName="[Table1].[Pcs].[All]" allUniqueName="[Table1].[Pcs].[All]" dimensionUniqueName="[Table1]" displayFolder="" count="0" memberValueDatatype="5" unbalanced="0"/>
    <cacheHierarchy uniqueName="[Table1].[Weight_KG]" caption="Weight_KG" attribute="1" defaultMemberUniqueName="[Table1].[Weight_KG].[All]" allUniqueName="[Table1].[Weight_KG].[All]" dimensionUniqueName="[Table1]" displayFolder="" count="0" memberValueDatatype="5" unbalanced="0"/>
    <cacheHierarchy uniqueName="[Table1].[Shipper]" caption="Shipper" attribute="1" defaultMemberUniqueName="[Table1].[Shipper].[All]" allUniqueName="[Table1].[Shipper].[All]" dimensionUniqueName="[Table1]" displayFolder="" count="0" memberValueDatatype="130" unbalanced="0"/>
    <cacheHierarchy uniqueName="[Table1].[Dest]" caption="Dest" attribute="1" defaultMemberUniqueName="[Table1].[Dest].[All]" allUniqueName="[Table1].[Dest].[All]" dimensionUniqueName="[Table1]" displayFolder="" count="0" memberValueDatatype="130" unbalanced="0"/>
    <cacheHierarchy uniqueName="[Table1].[Bill_Type]" caption="Bill_Type" attribute="1" defaultMemberUniqueName="[Table1].[Bill_Type].[All]" allUniqueName="[Table1].[Bill_Type].[All]" dimensionUniqueName="[Table1]" displayFolder="" count="0" memberValueDatatype="130" unbalanced="0"/>
    <cacheHierarchy uniqueName="[Table1].[Consignee]" caption="Consignee" attribute="1" defaultMemberUniqueName="[Table1].[Consignee].[All]" allUniqueName="[Table1].[Consigne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HS_Code]" caption="HS_Code" attribute="1" defaultMemberUniqueName="[Table1].[HS_Code].[All]" allUniqueName="[Table1].[HS_Code].[All]" dimensionUniqueName="[Table1]" displayFolder="" count="0" memberValueDatatype="130" unbalanced="0"/>
    <cacheHierarchy uniqueName="[Table1].[Declared_Value_USD]" caption="Declared_Value_USD" attribute="1" defaultMemberUniqueName="[Table1].[Declared_Value_USD].[All]" allUniqueName="[Table1].[Declared_Value_USD].[All]" dimensionUniqueName="[Table1]" displayFolder="" count="0" memberValueDatatype="5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CS_1]" caption="PCS_1" attribute="1" defaultMemberUniqueName="[Table1].[PCS_1].[All]" allUniqueName="[Table1].[PCS_1].[All]" dimensionUniqueName="[Table1]" displayFolder="" count="0" memberValueDatatype="5" unbalanced="0"/>
    <cacheHierarchy uniqueName="[Table1].[PCS_3]" caption="PCS_3" attribute="1" defaultMemberUniqueName="[Table1].[PCS_3].[All]" allUniqueName="[Table1].[PCS_3].[All]" dimensionUniqueName="[Table1]" displayFolder="" count="0" memberValueDatatype="5" unbalanced="0"/>
    <cacheHierarchy uniqueName="[Table1].[PCS_2]" caption="PCS_2" attribute="1" defaultMemberUniqueName="[Table1].[PCS_2].[All]" allUniqueName="[Table1].[PCS_2].[All]" dimensionUniqueName="[Table1]" displayFolder="" count="0" memberValueDatatype="5" unbalanced="0"/>
    <cacheHierarchy uniqueName="[Table1].[HS Required]" caption="HS Required" attribute="1" defaultMemberUniqueName="[Table1].[HS Required].[All]" allUniqueName="[Table1].[HS Required].[All]" dimensionUniqueName="[Table1]" displayFolder="" count="0" memberValueDatatype="20" unbalanced="0"/>
    <cacheHierarchy uniqueName="[Table1].[HS Invalid]" caption="HS Invalid" attribute="1" defaultMemberUniqueName="[Table1].[HS Invalid].[All]" allUniqueName="[Table1].[HS Invalid].[All]" dimensionUniqueName="[Table1]" displayFolder="" count="0" memberValueDatatype="20" unbalanced="0"/>
    <cacheHierarchy uniqueName="[Measures].[Total Packages]" caption="Total Packages" measure="1" displayFolder="" measureGroup="Table1" count="0"/>
    <cacheHierarchy uniqueName="[Measures].[Single Packages]" caption="Single Packages" measure="1" displayFolder="" measureGroup="Table1" count="0"/>
    <cacheHierarchy uniqueName="[Measures].[Multiple Packages]" caption="Multiple Packages" measure="1" displayFolder="" measureGroup="Table1" count="0"/>
    <cacheHierarchy uniqueName="[Measures].[Total Weight]" caption="Total Weight" measure="1" displayFolder="" measureGroup="Table1" count="0"/>
    <cacheHierarchy uniqueName="[Measures].[Total Value]" caption="Total Value" measure="1" displayFolder="" measureGroup="Table1" count="0" oneField="1">
      <fieldsUsage count="1">
        <fieldUsage x="0"/>
      </fieldsUsage>
    </cacheHierarchy>
    <cacheHierarchy uniqueName="[Measures].[No of Shipper Companies]" caption="No of Shipper Companies" measure="1" displayFolder="" measureGroup="Table1" count="0"/>
    <cacheHierarchy uniqueName="[Measures].[No of Consignees LK]" caption="No of Consignees LK" measure="1" displayFolder="" measureGroup="Table1" count="0"/>
    <cacheHierarchy uniqueName="[Measures].[No of HS Invalid Pckgs]" caption="No of HS Invalid Pckgs" measure="1" displayFolder="" measureGroup="Table1" count="0"/>
    <cacheHierarchy uniqueName="[Measures].[Misrouted Shipments]" caption="Misrouted Shipment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Declared_Value_USD]" caption="Sum of Declared_Value_USD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eight_KG]" caption="Sum of Weight_KG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HAWB]" caption="Count of HAWB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igin]" caption="Count of Origin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cs]" caption="Sum of Pcs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97849202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udi Senevirathna" refreshedDate="46020.527746643522" backgroundQuery="1" createdVersion="8" refreshedVersion="8" minRefreshableVersion="3" recordCount="0" supportSubquery="1" supportAdvancedDrill="1" xr:uid="{49450DB2-1714-4C3C-B413-F4C7875CBF1A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e1].[Consignee].[Consignee]" caption="Consignee" numFmtId="0" hierarchy="7" level="1">
      <sharedItems count="3">
        <s v="ABC Apparel Pvt Ltd"/>
        <s v="Mega Industries Ltd"/>
        <s v="Urban Living Ltd"/>
      </sharedItems>
    </cacheField>
    <cacheField name="[Measures].[Total Weight]" caption="Total Weight" numFmtId="0" hierarchy="20" level="32767"/>
  </cacheFields>
  <cacheHierarchies count="33">
    <cacheHierarchy uniqueName="[Table1].[Origin]" caption="Origin" attribute="1" defaultMemberUniqueName="[Table1].[Origin].[All]" allUniqueName="[Table1].[Origin].[All]" dimensionUniqueName="[Table1]" displayFolder="" count="0" memberValueDatatype="130" unbalanced="0"/>
    <cacheHierarchy uniqueName="[Table1].[HAWB]" caption="HAWB" attribute="1" defaultMemberUniqueName="[Table1].[HAWB].[All]" allUniqueName="[Table1].[HAWB].[All]" dimensionUniqueName="[Table1]" displayFolder="" count="0" memberValueDatatype="130" unbalanced="0"/>
    <cacheHierarchy uniqueName="[Table1].[Pcs]" caption="Pcs" attribute="1" defaultMemberUniqueName="[Table1].[Pcs].[All]" allUniqueName="[Table1].[Pcs].[All]" dimensionUniqueName="[Table1]" displayFolder="" count="0" memberValueDatatype="5" unbalanced="0"/>
    <cacheHierarchy uniqueName="[Table1].[Weight_KG]" caption="Weight_KG" attribute="1" defaultMemberUniqueName="[Table1].[Weight_KG].[All]" allUniqueName="[Table1].[Weight_KG].[All]" dimensionUniqueName="[Table1]" displayFolder="" count="0" memberValueDatatype="5" unbalanced="0"/>
    <cacheHierarchy uniqueName="[Table1].[Shipper]" caption="Shipper" attribute="1" defaultMemberUniqueName="[Table1].[Shipper].[All]" allUniqueName="[Table1].[Shipper].[All]" dimensionUniqueName="[Table1]" displayFolder="" count="0" memberValueDatatype="130" unbalanced="0"/>
    <cacheHierarchy uniqueName="[Table1].[Dest]" caption="Dest" attribute="1" defaultMemberUniqueName="[Table1].[Dest].[All]" allUniqueName="[Table1].[Dest].[All]" dimensionUniqueName="[Table1]" displayFolder="" count="0" memberValueDatatype="130" unbalanced="0"/>
    <cacheHierarchy uniqueName="[Table1].[Bill_Type]" caption="Bill_Type" attribute="1" defaultMemberUniqueName="[Table1].[Bill_Type].[All]" allUniqueName="[Table1].[Bill_Type].[All]" dimensionUniqueName="[Table1]" displayFolder="" count="0" memberValueDatatype="130" unbalanced="0"/>
    <cacheHierarchy uniqueName="[Table1].[Consignee]" caption="Consignee" attribute="1" defaultMemberUniqueName="[Table1].[Consignee].[All]" allUniqueName="[Table1].[Consigne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HS_Code]" caption="HS_Code" attribute="1" defaultMemberUniqueName="[Table1].[HS_Code].[All]" allUniqueName="[Table1].[HS_Code].[All]" dimensionUniqueName="[Table1]" displayFolder="" count="0" memberValueDatatype="130" unbalanced="0"/>
    <cacheHierarchy uniqueName="[Table1].[Declared_Value_USD]" caption="Declared_Value_USD" attribute="1" defaultMemberUniqueName="[Table1].[Declared_Value_USD].[All]" allUniqueName="[Table1].[Declared_Value_USD].[All]" dimensionUniqueName="[Table1]" displayFolder="" count="0" memberValueDatatype="5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PCS_1]" caption="PCS_1" attribute="1" defaultMemberUniqueName="[Table1].[PCS_1].[All]" allUniqueName="[Table1].[PCS_1].[All]" dimensionUniqueName="[Table1]" displayFolder="" count="0" memberValueDatatype="5" unbalanced="0"/>
    <cacheHierarchy uniqueName="[Table1].[PCS_3]" caption="PCS_3" attribute="1" defaultMemberUniqueName="[Table1].[PCS_3].[All]" allUniqueName="[Table1].[PCS_3].[All]" dimensionUniqueName="[Table1]" displayFolder="" count="0" memberValueDatatype="5" unbalanced="0"/>
    <cacheHierarchy uniqueName="[Table1].[PCS_2]" caption="PCS_2" attribute="1" defaultMemberUniqueName="[Table1].[PCS_2].[All]" allUniqueName="[Table1].[PCS_2].[All]" dimensionUniqueName="[Table1]" displayFolder="" count="0" memberValueDatatype="5" unbalanced="0"/>
    <cacheHierarchy uniqueName="[Table1].[HS Required]" caption="HS Required" attribute="1" defaultMemberUniqueName="[Table1].[HS Required].[All]" allUniqueName="[Table1].[HS Required].[All]" dimensionUniqueName="[Table1]" displayFolder="" count="0" memberValueDatatype="20" unbalanced="0"/>
    <cacheHierarchy uniqueName="[Table1].[HS Invalid]" caption="HS Invalid" attribute="1" defaultMemberUniqueName="[Table1].[HS Invalid].[All]" allUniqueName="[Table1].[HS Invalid].[All]" dimensionUniqueName="[Table1]" displayFolder="" count="0" memberValueDatatype="20" unbalanced="0"/>
    <cacheHierarchy uniqueName="[Measures].[Total Packages]" caption="Total Packages" measure="1" displayFolder="" measureGroup="Table1" count="0"/>
    <cacheHierarchy uniqueName="[Measures].[Single Packages]" caption="Single Packages" measure="1" displayFolder="" measureGroup="Table1" count="0"/>
    <cacheHierarchy uniqueName="[Measures].[Multiple Packages]" caption="Multiple Packages" measure="1" displayFolder="" measureGroup="Table1" count="0"/>
    <cacheHierarchy uniqueName="[Measures].[Total Weight]" caption="Total Weight" measure="1" displayFolder="" measureGroup="Table1" count="0" oneField="1">
      <fieldsUsage count="1">
        <fieldUsage x="1"/>
      </fieldsUsage>
    </cacheHierarchy>
    <cacheHierarchy uniqueName="[Measures].[Total Value]" caption="Total Value" measure="1" displayFolder="" measureGroup="Table1" count="0"/>
    <cacheHierarchy uniqueName="[Measures].[No of Shipper Companies]" caption="No of Shipper Companies" measure="1" displayFolder="" measureGroup="Table1" count="0"/>
    <cacheHierarchy uniqueName="[Measures].[No of Consignees LK]" caption="No of Consignees LK" measure="1" displayFolder="" measureGroup="Table1" count="0"/>
    <cacheHierarchy uniqueName="[Measures].[No of HS Invalid Pckgs]" caption="No of HS Invalid Pckgs" measure="1" displayFolder="" measureGroup="Table1" count="0"/>
    <cacheHierarchy uniqueName="[Measures].[Misrouted Shipments]" caption="Misrouted Shipment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Declared_Value_USD]" caption="Sum of Declared_Value_USD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eight_KG]" caption="Sum of Weight_KG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HAWB]" caption="Count of HAWB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igin]" caption="Count of Origin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cs]" caption="Sum of Pcs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3695116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udi Senevirathna" refreshedDate="46021.629140625002" backgroundQuery="1" createdVersion="8" refreshedVersion="8" minRefreshableVersion="3" recordCount="0" supportSubquery="1" supportAdvancedDrill="1" xr:uid="{16C7E000-3C55-4DAD-8918-A961237EAA9C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Total Packages]" caption="Total Packages" numFmtId="0" hierarchy="17" level="32767"/>
    <cacheField name="[Table1].[Origin].[Origin]" caption="Origin" numFmtId="0" level="1">
      <sharedItems count="4">
        <s v="CN"/>
        <s v="IN"/>
        <s v="TH"/>
        <s v="VN"/>
      </sharedItems>
    </cacheField>
  </cacheFields>
  <cacheHierarchies count="33">
    <cacheHierarchy uniqueName="[Table1].[Origin]" caption="Origin" attribute="1" defaultMemberUniqueName="[Table1].[Origin].[All]" allUniqueName="[Table1].[Origi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HAWB]" caption="HAWB" attribute="1" defaultMemberUniqueName="[Table1].[HAWB].[All]" allUniqueName="[Table1].[HAWB].[All]" dimensionUniqueName="[Table1]" displayFolder="" count="0" memberValueDatatype="130" unbalanced="0"/>
    <cacheHierarchy uniqueName="[Table1].[Pcs]" caption="Pcs" attribute="1" defaultMemberUniqueName="[Table1].[Pcs].[All]" allUniqueName="[Table1].[Pcs].[All]" dimensionUniqueName="[Table1]" displayFolder="" count="0" memberValueDatatype="5" unbalanced="0"/>
    <cacheHierarchy uniqueName="[Table1].[Weight_KG]" caption="Weight_KG" attribute="1" defaultMemberUniqueName="[Table1].[Weight_KG].[All]" allUniqueName="[Table1].[Weight_KG].[All]" dimensionUniqueName="[Table1]" displayFolder="" count="0" memberValueDatatype="5" unbalanced="0"/>
    <cacheHierarchy uniqueName="[Table1].[Shipper]" caption="Shipper" attribute="1" defaultMemberUniqueName="[Table1].[Shipper].[All]" allUniqueName="[Table1].[Shipper].[All]" dimensionUniqueName="[Table1]" displayFolder="" count="2" memberValueDatatype="130" unbalanced="0"/>
    <cacheHierarchy uniqueName="[Table1].[Dest]" caption="Dest" attribute="1" defaultMemberUniqueName="[Table1].[Dest].[All]" allUniqueName="[Table1].[Dest].[All]" dimensionUniqueName="[Table1]" displayFolder="" count="0" memberValueDatatype="130" unbalanced="0"/>
    <cacheHierarchy uniqueName="[Table1].[Bill_Type]" caption="Bill_Type" attribute="1" defaultMemberUniqueName="[Table1].[Bill_Type].[All]" allUniqueName="[Table1].[Bill_Type].[All]" dimensionUniqueName="[Table1]" displayFolder="" count="0" memberValueDatatype="130" unbalanced="0"/>
    <cacheHierarchy uniqueName="[Table1].[Consignee]" caption="Consignee" attribute="1" defaultMemberUniqueName="[Table1].[Consignee].[All]" allUniqueName="[Table1].[Consignee].[All]" dimensionUniqueName="[Table1]" displayFolder="" count="0" memberValueDatatype="130" unbalanced="0"/>
    <cacheHierarchy uniqueName="[Table1].[Description]" caption="Description" attribute="1" defaultMemberUniqueName="[Table1].[Description].[All]" allUniqueName="[Table1].[Description].[All]" dimensionUniqueName="[Table1]" displayFolder="" count="0" memberValueDatatype="130" unbalanced="0"/>
    <cacheHierarchy uniqueName="[Table1].[HS_Code]" caption="HS_Code" attribute="1" defaultMemberUniqueName="[Table1].[HS_Code].[All]" allUniqueName="[Table1].[HS_Code].[All]" dimensionUniqueName="[Table1]" displayFolder="" count="0" memberValueDatatype="130" unbalanced="0"/>
    <cacheHierarchy uniqueName="[Table1].[Declared_Value_USD]" caption="Declared_Value_USD" attribute="1" defaultMemberUniqueName="[Table1].[Declared_Value_USD].[All]" allUniqueName="[Table1].[Declared_Value_USD].[All]" dimensionUniqueName="[Table1]" displayFolder="" count="0" memberValueDatatype="5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PCS_1]" caption="PCS_1" attribute="1" defaultMemberUniqueName="[Table1].[PCS_1].[All]" allUniqueName="[Table1].[PCS_1].[All]" dimensionUniqueName="[Table1]" displayFolder="" count="0" memberValueDatatype="5" unbalanced="0"/>
    <cacheHierarchy uniqueName="[Table1].[PCS_3]" caption="PCS_3" attribute="1" defaultMemberUniqueName="[Table1].[PCS_3].[All]" allUniqueName="[Table1].[PCS_3].[All]" dimensionUniqueName="[Table1]" displayFolder="" count="0" memberValueDatatype="5" unbalanced="0"/>
    <cacheHierarchy uniqueName="[Table1].[PCS_2]" caption="PCS_2" attribute="1" defaultMemberUniqueName="[Table1].[PCS_2].[All]" allUniqueName="[Table1].[PCS_2].[All]" dimensionUniqueName="[Table1]" displayFolder="" count="0" memberValueDatatype="5" unbalanced="0"/>
    <cacheHierarchy uniqueName="[Table1].[HS Required]" caption="HS Required" attribute="1" defaultMemberUniqueName="[Table1].[HS Required].[All]" allUniqueName="[Table1].[HS Required].[All]" dimensionUniqueName="[Table1]" displayFolder="" count="0" memberValueDatatype="20" unbalanced="0"/>
    <cacheHierarchy uniqueName="[Table1].[HS Invalid]" caption="HS Invalid" attribute="1" defaultMemberUniqueName="[Table1].[HS Invalid].[All]" allUniqueName="[Table1].[HS Invalid].[All]" dimensionUniqueName="[Table1]" displayFolder="" count="0" memberValueDatatype="20" unbalanced="0"/>
    <cacheHierarchy uniqueName="[Measures].[Total Packages]" caption="Total Packages" measure="1" displayFolder="" measureGroup="Table1" count="0" oneField="1">
      <fieldsUsage count="1">
        <fieldUsage x="0"/>
      </fieldsUsage>
    </cacheHierarchy>
    <cacheHierarchy uniqueName="[Measures].[Single Packages]" caption="Single Packages" measure="1" displayFolder="" measureGroup="Table1" count="0"/>
    <cacheHierarchy uniqueName="[Measures].[Multiple Packages]" caption="Multiple Packages" measure="1" displayFolder="" measureGroup="Table1" count="0"/>
    <cacheHierarchy uniqueName="[Measures].[Total Weight]" caption="Total Weight" measure="1" displayFolder="" measureGroup="Table1" count="0"/>
    <cacheHierarchy uniqueName="[Measures].[Total Value]" caption="Total Value" measure="1" displayFolder="" measureGroup="Table1" count="0"/>
    <cacheHierarchy uniqueName="[Measures].[No of Shipper Companies]" caption="No of Shipper Companies" measure="1" displayFolder="" measureGroup="Table1" count="0"/>
    <cacheHierarchy uniqueName="[Measures].[No of Consignees LK]" caption="No of Consignees LK" measure="1" displayFolder="" measureGroup="Table1" count="0"/>
    <cacheHierarchy uniqueName="[Measures].[No of HS Invalid Pckgs]" caption="No of HS Invalid Pckgs" measure="1" displayFolder="" measureGroup="Table1" count="0"/>
    <cacheHierarchy uniqueName="[Measures].[Misrouted Shipments]" caption="Misrouted Shipment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Declared_Value_USD]" caption="Sum of Declared_Value_USD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Weight_KG]" caption="Sum of Weight_KG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HAWB]" caption="Count of HAWB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igin]" caption="Count of Origin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cs]" caption="Sum of Pcs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46002996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0CFAB-1EDF-4D2E-A2C5-8C8FD812C17A}" name="PivotChartTable14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>
  <location ref="A1:B5" firstHeaderRow="1" firstDataRow="1" firstDataCol="1"/>
  <pivotFields count="2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1"/>
    </i>
    <i>
      <x/>
    </i>
    <i>
      <x v="2"/>
    </i>
    <i t="grand">
      <x/>
    </i>
  </rowItems>
  <colItems count="1">
    <i/>
  </colItems>
  <dataFields count="1">
    <dataField fld="1" subtotal="count" baseField="0" baseItem="0"/>
  </dataFields>
  <chartFormats count="12">
    <chartFormat chart="6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" columnCount="1" cacheId="136951161">
        <x15:pivotRow count="1">
          <x15:c>
            <x15:v>131.26</x15:v>
          </x15:c>
        </x15:pivotRow>
        <x15:pivotRow count="1">
          <x15:c>
            <x15:v>126.12</x15:v>
          </x15:c>
        </x15:pivotRow>
        <x15:pivotRow count="1">
          <x15:c>
            <x15:v>94.4</x15:v>
          </x15:c>
        </x15:pivotRow>
        <x15:pivotRow count="1">
          <x15:c>
            <x15:v>351.78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0CFAB-1EDF-4D2E-A2C5-8C8FD812C17A}" name="PivotChartTable13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A1:B5" firstHeaderRow="1" firstDataRow="1" firstDataCol="1"/>
  <pivotFields count="3">
    <pivotField dataField="1" subtotalTop="0" showAll="0" defaultSubtotal="0"/>
    <pivotField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">
    <i>
      <x/>
    </i>
    <i>
      <x v="2"/>
    </i>
    <i>
      <x v="1"/>
    </i>
    <i t="grand">
      <x/>
    </i>
  </rowItems>
  <colItems count="1">
    <i/>
  </colItems>
  <dataFields count="1">
    <dataField fld="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" columnCount="1" cacheId="978492024">
        <x15:pivotRow count="1">
          <x15:c>
            <x15:v>3038.13</x15:v>
          </x15:c>
        </x15:pivotRow>
        <x15:pivotRow count="1">
          <x15:c>
            <x15:v>2787.29</x15:v>
          </x15:c>
        </x15:pivotRow>
        <x15:pivotRow count="1">
          <x15:c>
            <x15:v>2647.33</x15:v>
          </x15:c>
        </x15:pivotRow>
        <x15:pivotRow count="1">
          <x15:c>
            <x15:v>8472.75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0CFAB-1EDF-4D2E-A2C5-8C8FD812C17A}" name="PivotChartTable12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A1:B6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Weight_KG" fld="1" baseField="0" baseItem="0"/>
  </dataFields>
  <chartFormats count="15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2095271356">
        <x15:pivotRow count="1">
          <x15:c>
            <x15:v>244.45</x15:v>
          </x15:c>
        </x15:pivotRow>
        <x15:pivotRow count="1">
          <x15:c>
            <x15:v>65.010000000000005</x15:v>
          </x15:c>
        </x15:pivotRow>
        <x15:pivotRow count="1">
          <x15:c>
            <x15:v>30.36</x15:v>
          </x15:c>
        </x15:pivotRow>
        <x15:pivotRow count="1">
          <x15:c>
            <x15:v>11.96</x15:v>
          </x15:c>
        </x15:pivotRow>
        <x15:pivotRow count="1">
          <x15:c>
            <x15:v>351.78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0CFAB-1EDF-4D2E-A2C5-8C8FD812C17A}" name="PivotChartTable11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>
  <location ref="A1:B6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fld="0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278857182">
        <x15:pivotRow count="1">
          <x15:c>
            <x15:v>3193.31</x15:v>
          </x15:c>
        </x15:pivotRow>
        <x15:pivotRow count="1">
          <x15:c>
            <x15:v>2923.93</x15:v>
          </x15:c>
        </x15:pivotRow>
        <x15:pivotRow count="1">
          <x15:c>
            <x15:v>1567.67</x15:v>
          </x15:c>
        </x15:pivotRow>
        <x15:pivotRow count="1">
          <x15:c>
            <x15:v>787.84</x15:v>
          </x15:c>
        </x15:pivotRow>
        <x15:pivotRow count="1">
          <x15:c>
            <x15:v>8472.75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08DA7-A5A4-465B-907F-E03A81D9A5E7}" name="PivotChartTable10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6">
  <location ref="A1:B6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fld="1" subtotal="count" baseField="0" baseItem="0"/>
  </dataFields>
  <chartFormats count="15"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242674482">
        <x15:pivotRow count="1">
          <x15:c>
            <x15:v>2793.12</x15:v>
          </x15:c>
        </x15:pivotRow>
        <x15:pivotRow count="1">
          <x15:c>
            <x15:v>2034.28</x15:v>
          </x15:c>
        </x15:pivotRow>
        <x15:pivotRow count="1">
          <x15:c>
            <x15:v>1891.75</x15:v>
          </x15:c>
        </x15:pivotRow>
        <x15:pivotRow count="1">
          <x15:c>
            <x15:v>1753.6</x15:v>
          </x15:c>
        </x15:pivotRow>
        <x15:pivotRow count="1">
          <x15:c>
            <x15:v>8472.75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08DA7-A5A4-465B-907F-E03A81D9A5E7}" name="PivotChartTable9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3">
  <location ref="A1:B6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fld="1" subtotal="count" baseField="0" baseItem="0"/>
  </dataFields>
  <chartFormats count="15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1693853475">
        <x15:pivotRow count="1">
          <x15:c>
            <x15:v>118.94</x15:v>
          </x15:c>
        </x15:pivotRow>
        <x15:pivotRow count="1">
          <x15:c>
            <x15:v>81.13</x15:v>
          </x15:c>
        </x15:pivotRow>
        <x15:pivotRow count="1">
          <x15:c>
            <x15:v>77.59</x15:v>
          </x15:c>
        </x15:pivotRow>
        <x15:pivotRow count="1">
          <x15:c>
            <x15:v>74.12</x15:v>
          </x15:c>
        </x15:pivotRow>
        <x15:pivotRow count="1">
          <x15:c>
            <x15:v>351.78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08DA7-A5A4-465B-907F-E03A81D9A5E7}" name="PivotChartTable8" cacheId="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1">
  <location ref="A1:B6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fld="0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6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460029961">
        <x15:pivotRow count="1">
          <x15:c>
            <x15:v>46</x15:v>
          </x15:c>
        </x15:pivotRow>
        <x15:pivotRow count="1">
          <x15:c>
            <x15:v>37</x15:v>
          </x15:c>
        </x15:pivotRow>
        <x15:pivotRow count="1">
          <x15:c>
            <x15:v>34</x15:v>
          </x15:c>
        </x15:pivotRow>
        <x15:pivotRow count="1">
          <x15:c>
            <x15:v>33</x15:v>
          </x15:c>
        </x15:pivotRow>
        <x15:pivotRow count="1">
          <x15:c>
            <x15:v>150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B3B28-65EA-4AF2-8934-FE632832BD2E}" name="PivotTable9" cacheId="1" applyNumberFormats="0" applyBorderFormats="0" applyFontFormats="0" applyPatternFormats="0" applyAlignmentFormats="0" applyWidthHeightFormats="1" dataCaption="Values" updatedVersion="8" minRefreshableVersion="3" showDrill="0" rowGrandTotals="0" colGrandTotals="0" itemPrintTitles="1" createdVersion="8" indent="0" compact="0" compactData="0" multipleFieldFilters="0">
  <location ref="A14:H16" firstHeaderRow="1" firstDataRow="1" firstDataCol="8" rowPageCount="1" colPageCount="1"/>
  <pivotFields count="9"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8">
    <field x="1"/>
    <field x="2"/>
    <field x="4"/>
    <field x="8"/>
    <field x="6"/>
    <field x="7"/>
    <field x="3"/>
    <field x="5"/>
  </rowFields>
  <rowItems count="2">
    <i>
      <x/>
      <x/>
      <x/>
      <x/>
      <x/>
      <x/>
      <x/>
      <x/>
    </i>
    <i>
      <x v="1"/>
      <x/>
      <x v="1"/>
      <x v="1"/>
      <x v="1"/>
      <x/>
      <x v="1"/>
      <x v="1"/>
    </i>
  </rowItems>
  <pageFields count="1">
    <pageField fld="0" hier="16" name="[Table1].[HS Invalid].&amp;[1]" cap="1"/>
  </page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1].[HS Invalid].&amp;[1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8">
    <rowHierarchyUsage hierarchyUsage="1"/>
    <rowHierarchyUsage hierarchyUsage="0"/>
    <rowHierarchyUsage hierarchyUsage="11"/>
    <rowHierarchyUsage hierarchyUsage="8"/>
    <rowHierarchyUsage hierarchyUsage="4"/>
    <rowHierarchyUsage hierarchyUsage="7"/>
    <rowHierarchyUsage hierarchyUsage="3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E9C83-E9D2-4180-BF56-ED2195B587D7}" name="PivotTable4" cacheId="0" dataOnRows="1" applyNumberFormats="0" applyBorderFormats="0" applyFontFormats="0" applyPatternFormats="0" applyAlignmentFormats="0" applyWidthHeightFormats="1" dataCaption="Values" tag="b7f8898f-e82c-480d-8d91-9514237ce359" updatedVersion="8" minRefreshableVersion="3" useAutoFormatting="1" subtotalHiddenItems="1" itemPrintTitles="1" createdVersion="8" indent="0" showHeaders="0" outline="1" outlineData="1" multipleFieldFilters="0">
  <location ref="A1:B9" firstHeaderRow="0" firstDataRow="0" firstDataCol="1"/>
  <pivotFields count="9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rowItems>
  <colItems count="1">
    <i/>
  </colItems>
  <dataFields count="9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  <dataField fld="8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5065A5-3F06-4ACB-B04F-095825E85A09}" name="PivotTable1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21:F23" firstHeaderRow="1" firstDataRow="1" firstDataCol="6"/>
  <pivotFields count="6"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2">
        <item s="1" x="0"/>
        <item s="1" x="1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6">
    <field x="0"/>
    <field x="1"/>
    <field x="2"/>
    <field x="4"/>
    <field x="3"/>
    <field x="5"/>
  </rowFields>
  <rowItems count="2">
    <i>
      <x/>
      <x/>
      <x/>
      <x/>
      <x/>
      <x/>
    </i>
    <i>
      <x v="1"/>
      <x v="1"/>
      <x v="1"/>
      <x v="1"/>
      <x v="1"/>
      <x v="1"/>
    </i>
  </rowItems>
  <pivotHierarchies count="33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6">
    <rowHierarchyUsage hierarchyUsage="1"/>
    <rowHierarchyUsage hierarchyUsage="5"/>
    <rowHierarchyUsage hierarchyUsage="0"/>
    <rowHierarchyUsage hierarchyUsage="11"/>
    <rowHierarchyUsage hierarchyUsage="8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6058B220-5595-452B-A946-B0CE0C3D9865}" autoFormatId="16" applyNumberFormats="0" applyBorderFormats="0" applyFontFormats="0" applyPatternFormats="0" applyAlignmentFormats="0" applyWidthHeightFormats="0">
  <queryTableRefresh nextId="27">
    <queryTableFields count="17">
      <queryTableField id="1" name="Origin" tableColumnId="1"/>
      <queryTableField id="2" name="HAWB" tableColumnId="2"/>
      <queryTableField id="3" name="Pcs" tableColumnId="3"/>
      <queryTableField id="4" name="Weight_KG" tableColumnId="4"/>
      <queryTableField id="5" name="Shipper" tableColumnId="5"/>
      <queryTableField id="6" name="Dest" tableColumnId="6"/>
      <queryTableField id="7" name="Bill_Type" tableColumnId="7"/>
      <queryTableField id="8" name="Consignee" tableColumnId="8"/>
      <queryTableField id="9" name="Description" tableColumnId="9"/>
      <queryTableField id="10" name="HS_Code" tableColumnId="10"/>
      <queryTableField id="11" name="Declared_Value_USD" tableColumnId="11"/>
      <queryTableField id="15" name="Product Category" tableColumnId="15"/>
      <queryTableField id="19" name="PCS_1" tableColumnId="12"/>
      <queryTableField id="20" name="PCS_3" tableColumnId="13"/>
      <queryTableField id="21" name="PCS_2" tableColumnId="18"/>
      <queryTableField id="14" name="HS Required" tableColumnId="14"/>
      <queryTableField id="18" name="HS Invalid" tableColumnId="17"/>
    </queryTableFields>
  </queryTableRefresh>
  <extLst>
    <ext xmlns:x15="http://schemas.microsoft.com/office/spreadsheetml/2010/11/main" uri="{883FBD77-0823-4a55-B5E3-86C4891E6966}">
      <x15:queryTable sourceDataName="Query - Table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FED43E-A967-4FF6-8EE9-43874CD77B04}" name="Table1" displayName="Table1" ref="A1:Q151" tableType="queryTable" totalsRowShown="0">
  <autoFilter ref="A1:Q151" xr:uid="{09FED43E-A967-4FF6-8EE9-43874CD77B04}"/>
  <tableColumns count="17">
    <tableColumn id="1" xr3:uid="{1156EF15-DDF4-40F4-83AF-8169B89C77CE}" uniqueName="1" name="Origin" queryTableFieldId="1" dataDxfId="8"/>
    <tableColumn id="2" xr3:uid="{D6DEE509-9F77-4415-9AB0-DAAEA886AA56}" uniqueName="2" name="HAWB" queryTableFieldId="2" dataDxfId="7"/>
    <tableColumn id="3" xr3:uid="{2DE7B159-2FCB-4928-B26F-3424E7F5A8CB}" uniqueName="3" name="Pcs" queryTableFieldId="3" dataDxfId="6"/>
    <tableColumn id="4" xr3:uid="{7F893259-5A54-4CFB-867D-F05B1220E592}" uniqueName="4" name="Weight_KG" queryTableFieldId="4"/>
    <tableColumn id="5" xr3:uid="{9B06CDDD-92F2-4CF5-BAAF-A3B222B9662D}" uniqueName="5" name="Shipper" queryTableFieldId="5" dataDxfId="5"/>
    <tableColumn id="6" xr3:uid="{EEFC2011-3986-487E-8BB1-3AB5FB50C07C}" uniqueName="6" name="Dest" queryTableFieldId="6" dataDxfId="4"/>
    <tableColumn id="7" xr3:uid="{E2DA119E-9885-41B2-B692-D626B8C9E4AF}" uniqueName="7" name="Bill_Type" queryTableFieldId="7" dataDxfId="3"/>
    <tableColumn id="8" xr3:uid="{8E2A8697-7E88-4CCA-9DE8-011E0B79531C}" uniqueName="8" name="Consignee" queryTableFieldId="8" dataDxfId="2"/>
    <tableColumn id="9" xr3:uid="{FFD7E824-4A2B-47D8-95C1-E95514AA71C2}" uniqueName="9" name="Description" queryTableFieldId="9" dataDxfId="1"/>
    <tableColumn id="10" xr3:uid="{DD0B4EB4-EFB1-453B-BC76-918ADC331B95}" uniqueName="10" name="HS_Code" queryTableFieldId="10" dataDxfId="0"/>
    <tableColumn id="11" xr3:uid="{D81CE0D2-167F-486E-9288-C1BFB4041A0B}" uniqueName="11" name="Declared_Value_USD" queryTableFieldId="11"/>
    <tableColumn id="15" xr3:uid="{140B16A0-F2F4-4665-95A2-8FAA51CC4D07}" uniqueName="15" name="Product Category" queryTableFieldId="15"/>
    <tableColumn id="12" xr3:uid="{603F71DA-46D7-47E9-8497-CCC877749CCB}" uniqueName="12" name="PCS_1" queryTableFieldId="19"/>
    <tableColumn id="13" xr3:uid="{A6FA92D3-E725-474B-BEE8-C16BA6025542}" uniqueName="13" name="PCS_3" queryTableFieldId="20"/>
    <tableColumn id="18" xr3:uid="{A13FDE3A-F4C3-4DDC-9775-47F34B0158EA}" uniqueName="18" name="PCS_2" queryTableFieldId="21"/>
    <tableColumn id="14" xr3:uid="{E357C26E-AAF1-47F0-8BFD-6C0BE02ABD11}" uniqueName="14" name="HS Required" queryTableFieldId="14"/>
    <tableColumn id="17" xr3:uid="{2E36C024-EF0F-4786-A21A-B05A8F262296}" uniqueName="17" name="HS Invalid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04BF-16AB-40CE-A5A7-04AF2F7A282D}">
  <sheetPr>
    <pageSetUpPr fitToPage="1"/>
  </sheetPr>
  <dimension ref="A12:P23"/>
  <sheetViews>
    <sheetView showGridLines="0" tabSelected="1" zoomScaleNormal="100" zoomScaleSheetLayoutView="100" workbookViewId="0">
      <selection activeCell="F19" sqref="F19"/>
    </sheetView>
  </sheetViews>
  <sheetFormatPr defaultRowHeight="14.5" x14ac:dyDescent="0.35"/>
  <sheetData>
    <row r="12" spans="1:16" ht="15.5" x14ac:dyDescent="0.35">
      <c r="A12" s="6" t="s">
        <v>234</v>
      </c>
      <c r="B12" s="6"/>
      <c r="C12" s="6"/>
      <c r="D12" s="6"/>
      <c r="E12" s="6"/>
    </row>
    <row r="14" spans="1:16" x14ac:dyDescent="0.35">
      <c r="A14" s="7" t="s">
        <v>1</v>
      </c>
      <c r="B14" s="7"/>
      <c r="C14" s="7" t="s">
        <v>0</v>
      </c>
      <c r="D14" s="7"/>
      <c r="E14" s="7" t="s">
        <v>218</v>
      </c>
      <c r="F14" s="7"/>
      <c r="G14" s="7" t="s">
        <v>8</v>
      </c>
      <c r="H14" s="7"/>
      <c r="I14" s="7" t="s">
        <v>4</v>
      </c>
      <c r="J14" s="7"/>
      <c r="K14" s="7" t="s">
        <v>7</v>
      </c>
      <c r="L14" s="7"/>
      <c r="M14" s="7" t="s">
        <v>236</v>
      </c>
      <c r="N14" s="7"/>
      <c r="O14" s="7" t="s">
        <v>237</v>
      </c>
      <c r="P14" s="7"/>
    </row>
    <row r="15" spans="1:16" x14ac:dyDescent="0.35">
      <c r="A15" s="8" t="s">
        <v>150</v>
      </c>
      <c r="B15" s="8"/>
      <c r="C15" s="8" t="s">
        <v>11</v>
      </c>
      <c r="D15" s="8"/>
      <c r="E15" s="8" t="s">
        <v>238</v>
      </c>
      <c r="F15" s="8"/>
      <c r="G15" s="8" t="s">
        <v>239</v>
      </c>
      <c r="H15" s="8"/>
      <c r="I15" s="8" t="s">
        <v>53</v>
      </c>
      <c r="J15" s="8"/>
      <c r="K15" s="8" t="s">
        <v>16</v>
      </c>
      <c r="L15" s="8"/>
      <c r="M15" s="8">
        <v>3.79</v>
      </c>
      <c r="N15" s="8"/>
      <c r="O15" s="8">
        <v>143.69</v>
      </c>
      <c r="P15" s="8"/>
    </row>
    <row r="16" spans="1:16" x14ac:dyDescent="0.35">
      <c r="A16" s="8" t="s">
        <v>165</v>
      </c>
      <c r="B16" s="8"/>
      <c r="C16" s="8" t="s">
        <v>11</v>
      </c>
      <c r="D16" s="8"/>
      <c r="E16" s="8" t="s">
        <v>213</v>
      </c>
      <c r="F16" s="8"/>
      <c r="G16" s="8" t="s">
        <v>240</v>
      </c>
      <c r="H16" s="8"/>
      <c r="I16" s="8" t="s">
        <v>77</v>
      </c>
      <c r="J16" s="8"/>
      <c r="K16" s="8" t="s">
        <v>16</v>
      </c>
      <c r="L16" s="8"/>
      <c r="M16" s="8">
        <v>1.08</v>
      </c>
      <c r="N16" s="8"/>
      <c r="O16" s="8">
        <v>63.05</v>
      </c>
      <c r="P16" s="8"/>
    </row>
    <row r="17" spans="1:16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9" spans="1:16" ht="15.5" x14ac:dyDescent="0.35">
      <c r="A19" s="6" t="s">
        <v>233</v>
      </c>
      <c r="B19" s="6"/>
      <c r="C19" s="6"/>
      <c r="D19" s="6"/>
      <c r="E19" s="6"/>
    </row>
    <row r="21" spans="1:16" x14ac:dyDescent="0.35">
      <c r="A21" s="7" t="s">
        <v>1</v>
      </c>
      <c r="B21" s="7"/>
      <c r="C21" s="5" t="s">
        <v>5</v>
      </c>
      <c r="D21" s="5" t="s">
        <v>0</v>
      </c>
      <c r="E21" s="7" t="s">
        <v>218</v>
      </c>
      <c r="F21" s="7"/>
      <c r="G21" s="7" t="s">
        <v>8</v>
      </c>
      <c r="H21" s="7"/>
      <c r="I21" s="7" t="s">
        <v>237</v>
      </c>
      <c r="J21" s="7"/>
    </row>
    <row r="22" spans="1:16" x14ac:dyDescent="0.35">
      <c r="A22" s="8" t="s">
        <v>31</v>
      </c>
      <c r="B22" s="8"/>
      <c r="C22" s="4" t="s">
        <v>220</v>
      </c>
      <c r="D22" s="4" t="s">
        <v>30</v>
      </c>
      <c r="E22" s="8" t="s">
        <v>241</v>
      </c>
      <c r="F22" s="8"/>
      <c r="G22" s="8" t="s">
        <v>242</v>
      </c>
      <c r="H22" s="8"/>
      <c r="I22" s="8">
        <v>55.05</v>
      </c>
      <c r="J22" s="8"/>
    </row>
    <row r="23" spans="1:16" x14ac:dyDescent="0.35">
      <c r="A23" s="8" t="s">
        <v>177</v>
      </c>
      <c r="B23" s="8"/>
      <c r="C23" s="4" t="s">
        <v>221</v>
      </c>
      <c r="D23" s="4" t="s">
        <v>11</v>
      </c>
      <c r="E23" s="8" t="s">
        <v>213</v>
      </c>
      <c r="F23" s="8"/>
      <c r="G23" s="8" t="s">
        <v>243</v>
      </c>
      <c r="H23" s="8"/>
      <c r="I23" s="8">
        <v>71.209999999999994</v>
      </c>
      <c r="J23" s="8"/>
    </row>
  </sheetData>
  <mergeCells count="38">
    <mergeCell ref="A22:B22"/>
    <mergeCell ref="A23:B23"/>
    <mergeCell ref="E21:F21"/>
    <mergeCell ref="I21:J21"/>
    <mergeCell ref="E22:F22"/>
    <mergeCell ref="E23:F23"/>
    <mergeCell ref="G22:H22"/>
    <mergeCell ref="G23:H23"/>
    <mergeCell ref="I22:J22"/>
    <mergeCell ref="I23:J23"/>
    <mergeCell ref="G21:H21"/>
    <mergeCell ref="K16:L16"/>
    <mergeCell ref="M16:N16"/>
    <mergeCell ref="O16:P16"/>
    <mergeCell ref="A19:E19"/>
    <mergeCell ref="A21:B21"/>
    <mergeCell ref="A16:B16"/>
    <mergeCell ref="C16:D16"/>
    <mergeCell ref="E16:F16"/>
    <mergeCell ref="G16:H16"/>
    <mergeCell ref="I16:J16"/>
    <mergeCell ref="I14:J14"/>
    <mergeCell ref="O14:P14"/>
    <mergeCell ref="K14:L14"/>
    <mergeCell ref="M14:N14"/>
    <mergeCell ref="A15:B15"/>
    <mergeCell ref="C15:D15"/>
    <mergeCell ref="E15:F15"/>
    <mergeCell ref="G15:H15"/>
    <mergeCell ref="I15:J15"/>
    <mergeCell ref="K15:L15"/>
    <mergeCell ref="M15:N15"/>
    <mergeCell ref="O15:P15"/>
    <mergeCell ref="A12:E12"/>
    <mergeCell ref="A14:B14"/>
    <mergeCell ref="C14:D14"/>
    <mergeCell ref="E14:F14"/>
    <mergeCell ref="G14:H14"/>
  </mergeCells>
  <printOptions horizontalCentered="1"/>
  <pageMargins left="0.3" right="0.3" top="0.5" bottom="0.5" header="0" footer="0"/>
  <pageSetup paperSize="11" scale="3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DB4E-3DFA-4B3E-ADAE-CCC787EBD317}">
  <dimension ref="A1:Q151"/>
  <sheetViews>
    <sheetView workbookViewId="0">
      <selection activeCell="M2" sqref="M2"/>
    </sheetView>
  </sheetViews>
  <sheetFormatPr defaultRowHeight="14.5" x14ac:dyDescent="0.35"/>
  <cols>
    <col min="1" max="1" width="8.08984375" bestFit="1" customWidth="1"/>
    <col min="2" max="2" width="11.1796875" bestFit="1" customWidth="1"/>
    <col min="3" max="3" width="5.81640625" bestFit="1" customWidth="1"/>
    <col min="4" max="4" width="12.453125" bestFit="1" customWidth="1"/>
    <col min="5" max="5" width="10.08984375" bestFit="1" customWidth="1"/>
    <col min="6" max="6" width="6.90625" bestFit="1" customWidth="1"/>
    <col min="7" max="7" width="10.54296875" bestFit="1" customWidth="1"/>
    <col min="8" max="8" width="17.36328125" bestFit="1" customWidth="1"/>
    <col min="9" max="9" width="19.26953125" bestFit="1" customWidth="1"/>
    <col min="10" max="10" width="10.54296875" bestFit="1" customWidth="1"/>
    <col min="11" max="11" width="20.81640625" bestFit="1" customWidth="1"/>
    <col min="12" max="12" width="17.7265625" bestFit="1" customWidth="1"/>
    <col min="13" max="13" width="8.1796875" bestFit="1" customWidth="1"/>
    <col min="14" max="14" width="8.1796875" customWidth="1"/>
    <col min="15" max="15" width="8.1796875" bestFit="1" customWidth="1"/>
    <col min="16" max="16" width="13.26953125" bestFit="1" customWidth="1"/>
    <col min="17" max="17" width="11.26953125" customWidth="1"/>
    <col min="18" max="18" width="20.36328125" bestFit="1" customWidth="1"/>
    <col min="19" max="19" width="13.26953125" bestFit="1" customWidth="1"/>
    <col min="20" max="20" width="20.3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218</v>
      </c>
      <c r="M1" t="s">
        <v>222</v>
      </c>
      <c r="N1" t="s">
        <v>223</v>
      </c>
      <c r="O1" t="s">
        <v>224</v>
      </c>
      <c r="P1" t="s">
        <v>217</v>
      </c>
      <c r="Q1" t="s">
        <v>219</v>
      </c>
    </row>
    <row r="2" spans="1:17" x14ac:dyDescent="0.35">
      <c r="A2" t="s">
        <v>11</v>
      </c>
      <c r="B2" t="s">
        <v>150</v>
      </c>
      <c r="C2">
        <v>1</v>
      </c>
      <c r="D2">
        <v>3.79</v>
      </c>
      <c r="E2" t="s">
        <v>53</v>
      </c>
      <c r="F2" t="s">
        <v>14</v>
      </c>
      <c r="G2" t="s">
        <v>15</v>
      </c>
      <c r="H2" t="s">
        <v>16</v>
      </c>
      <c r="I2" t="s">
        <v>151</v>
      </c>
      <c r="K2">
        <v>143.69</v>
      </c>
      <c r="L2" t="s">
        <v>214</v>
      </c>
      <c r="M2">
        <v>143.69</v>
      </c>
      <c r="P2">
        <v>1</v>
      </c>
      <c r="Q2">
        <v>1</v>
      </c>
    </row>
    <row r="3" spans="1:17" x14ac:dyDescent="0.35">
      <c r="A3" t="s">
        <v>11</v>
      </c>
      <c r="B3" t="s">
        <v>12</v>
      </c>
      <c r="C3">
        <v>3</v>
      </c>
      <c r="D3">
        <v>2.2799999999999998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K3">
        <v>34.99</v>
      </c>
      <c r="L3" t="s">
        <v>212</v>
      </c>
      <c r="N3">
        <v>34.99</v>
      </c>
      <c r="P3">
        <v>0</v>
      </c>
      <c r="Q3">
        <v>0</v>
      </c>
    </row>
    <row r="4" spans="1:17" x14ac:dyDescent="0.35">
      <c r="A4" t="s">
        <v>18</v>
      </c>
      <c r="B4" t="s">
        <v>19</v>
      </c>
      <c r="C4">
        <v>1</v>
      </c>
      <c r="D4">
        <v>2.41</v>
      </c>
      <c r="E4" t="s">
        <v>20</v>
      </c>
      <c r="F4" t="s">
        <v>14</v>
      </c>
      <c r="G4" t="s">
        <v>15</v>
      </c>
      <c r="H4" t="s">
        <v>16</v>
      </c>
      <c r="I4" t="s">
        <v>21</v>
      </c>
      <c r="K4">
        <v>18.84</v>
      </c>
      <c r="L4" t="s">
        <v>212</v>
      </c>
      <c r="M4">
        <v>18.84</v>
      </c>
      <c r="P4">
        <v>0</v>
      </c>
      <c r="Q4">
        <v>0</v>
      </c>
    </row>
    <row r="5" spans="1:17" x14ac:dyDescent="0.35">
      <c r="A5" t="s">
        <v>11</v>
      </c>
      <c r="B5" t="s">
        <v>22</v>
      </c>
      <c r="C5">
        <v>3</v>
      </c>
      <c r="D5">
        <v>2.46</v>
      </c>
      <c r="E5" t="s">
        <v>23</v>
      </c>
      <c r="F5" t="s">
        <v>14</v>
      </c>
      <c r="G5" t="s">
        <v>24</v>
      </c>
      <c r="H5" t="s">
        <v>16</v>
      </c>
      <c r="I5" t="s">
        <v>21</v>
      </c>
      <c r="K5">
        <v>35.909999999999997</v>
      </c>
      <c r="L5" t="s">
        <v>212</v>
      </c>
      <c r="N5">
        <v>35.909999999999997</v>
      </c>
      <c r="P5">
        <v>0</v>
      </c>
      <c r="Q5">
        <v>0</v>
      </c>
    </row>
    <row r="6" spans="1:17" x14ac:dyDescent="0.35">
      <c r="A6" t="s">
        <v>11</v>
      </c>
      <c r="B6" t="s">
        <v>156</v>
      </c>
      <c r="C6">
        <v>1</v>
      </c>
      <c r="D6">
        <v>3.41</v>
      </c>
      <c r="E6" t="s">
        <v>44</v>
      </c>
      <c r="F6" t="s">
        <v>14</v>
      </c>
      <c r="G6" t="s">
        <v>15</v>
      </c>
      <c r="H6" t="s">
        <v>16</v>
      </c>
      <c r="I6" t="s">
        <v>157</v>
      </c>
      <c r="J6" t="s">
        <v>158</v>
      </c>
      <c r="K6">
        <v>78.92</v>
      </c>
      <c r="L6" t="s">
        <v>213</v>
      </c>
      <c r="M6">
        <v>78.92</v>
      </c>
      <c r="P6">
        <v>1</v>
      </c>
      <c r="Q6">
        <v>0</v>
      </c>
    </row>
    <row r="7" spans="1:17" x14ac:dyDescent="0.35">
      <c r="A7" t="s">
        <v>30</v>
      </c>
      <c r="B7" t="s">
        <v>159</v>
      </c>
      <c r="C7">
        <v>1</v>
      </c>
      <c r="D7">
        <v>2.04</v>
      </c>
      <c r="E7" t="s">
        <v>96</v>
      </c>
      <c r="F7" t="s">
        <v>14</v>
      </c>
      <c r="G7" t="s">
        <v>24</v>
      </c>
      <c r="H7" t="s">
        <v>41</v>
      </c>
      <c r="I7" t="s">
        <v>151</v>
      </c>
      <c r="J7" t="s">
        <v>152</v>
      </c>
      <c r="K7">
        <v>50</v>
      </c>
      <c r="L7" t="s">
        <v>214</v>
      </c>
      <c r="M7">
        <v>50</v>
      </c>
      <c r="P7">
        <v>1</v>
      </c>
      <c r="Q7">
        <v>0</v>
      </c>
    </row>
    <row r="8" spans="1:17" x14ac:dyDescent="0.35">
      <c r="A8" t="s">
        <v>25</v>
      </c>
      <c r="B8" t="s">
        <v>26</v>
      </c>
      <c r="C8">
        <v>3</v>
      </c>
      <c r="D8">
        <v>3.73</v>
      </c>
      <c r="E8" t="s">
        <v>27</v>
      </c>
      <c r="F8" t="s">
        <v>14</v>
      </c>
      <c r="G8" t="s">
        <v>24</v>
      </c>
      <c r="H8" t="s">
        <v>28</v>
      </c>
      <c r="I8" t="s">
        <v>29</v>
      </c>
      <c r="K8">
        <v>15.52</v>
      </c>
      <c r="L8" t="s">
        <v>212</v>
      </c>
      <c r="N8">
        <v>15.52</v>
      </c>
      <c r="P8">
        <v>0</v>
      </c>
      <c r="Q8">
        <v>0</v>
      </c>
    </row>
    <row r="9" spans="1:17" x14ac:dyDescent="0.35">
      <c r="A9" t="s">
        <v>30</v>
      </c>
      <c r="B9" t="s">
        <v>31</v>
      </c>
      <c r="C9">
        <v>1</v>
      </c>
      <c r="D9">
        <v>1.38</v>
      </c>
      <c r="E9" t="s">
        <v>32</v>
      </c>
      <c r="F9" t="s">
        <v>220</v>
      </c>
      <c r="G9" t="s">
        <v>24</v>
      </c>
      <c r="H9" t="s">
        <v>28</v>
      </c>
      <c r="I9" t="s">
        <v>33</v>
      </c>
      <c r="K9">
        <v>55.05</v>
      </c>
      <c r="L9" t="s">
        <v>212</v>
      </c>
      <c r="M9">
        <v>55.05</v>
      </c>
      <c r="P9">
        <v>0</v>
      </c>
      <c r="Q9">
        <v>0</v>
      </c>
    </row>
    <row r="10" spans="1:17" x14ac:dyDescent="0.35">
      <c r="A10" t="s">
        <v>30</v>
      </c>
      <c r="B10" t="s">
        <v>34</v>
      </c>
      <c r="C10">
        <v>1</v>
      </c>
      <c r="D10">
        <v>3.38</v>
      </c>
      <c r="E10" t="s">
        <v>35</v>
      </c>
      <c r="F10" t="s">
        <v>14</v>
      </c>
      <c r="G10" t="s">
        <v>24</v>
      </c>
      <c r="H10" t="s">
        <v>16</v>
      </c>
      <c r="I10" t="s">
        <v>33</v>
      </c>
      <c r="K10">
        <v>45.46</v>
      </c>
      <c r="L10" t="s">
        <v>212</v>
      </c>
      <c r="M10">
        <v>45.46</v>
      </c>
      <c r="P10">
        <v>0</v>
      </c>
      <c r="Q10">
        <v>0</v>
      </c>
    </row>
    <row r="11" spans="1:17" x14ac:dyDescent="0.35">
      <c r="A11" t="s">
        <v>30</v>
      </c>
      <c r="B11" t="s">
        <v>36</v>
      </c>
      <c r="C11">
        <v>3</v>
      </c>
      <c r="D11">
        <v>3.05</v>
      </c>
      <c r="E11" t="s">
        <v>37</v>
      </c>
      <c r="F11" t="s">
        <v>14</v>
      </c>
      <c r="G11" t="s">
        <v>24</v>
      </c>
      <c r="H11" t="s">
        <v>28</v>
      </c>
      <c r="I11" t="s">
        <v>38</v>
      </c>
      <c r="K11">
        <v>32.04</v>
      </c>
      <c r="L11" t="s">
        <v>212</v>
      </c>
      <c r="N11">
        <v>32.04</v>
      </c>
      <c r="P11">
        <v>0</v>
      </c>
      <c r="Q11">
        <v>0</v>
      </c>
    </row>
    <row r="12" spans="1:17" x14ac:dyDescent="0.35">
      <c r="A12" t="s">
        <v>11</v>
      </c>
      <c r="B12" t="s">
        <v>39</v>
      </c>
      <c r="C12">
        <v>1</v>
      </c>
      <c r="D12">
        <v>4.3499999999999996</v>
      </c>
      <c r="E12" t="s">
        <v>40</v>
      </c>
      <c r="F12" t="s">
        <v>14</v>
      </c>
      <c r="G12" t="s">
        <v>15</v>
      </c>
      <c r="H12" t="s">
        <v>41</v>
      </c>
      <c r="I12" t="s">
        <v>42</v>
      </c>
      <c r="K12">
        <v>24.93</v>
      </c>
      <c r="L12" t="s">
        <v>212</v>
      </c>
      <c r="M12">
        <v>24.93</v>
      </c>
      <c r="P12">
        <v>0</v>
      </c>
      <c r="Q12">
        <v>0</v>
      </c>
    </row>
    <row r="13" spans="1:17" x14ac:dyDescent="0.35">
      <c r="A13" t="s">
        <v>18</v>
      </c>
      <c r="B13" t="s">
        <v>160</v>
      </c>
      <c r="C13">
        <v>3</v>
      </c>
      <c r="D13">
        <v>1.48</v>
      </c>
      <c r="E13" t="s">
        <v>48</v>
      </c>
      <c r="F13" t="s">
        <v>14</v>
      </c>
      <c r="G13" t="s">
        <v>15</v>
      </c>
      <c r="H13" t="s">
        <v>41</v>
      </c>
      <c r="I13" t="s">
        <v>216</v>
      </c>
      <c r="J13" t="s">
        <v>152</v>
      </c>
      <c r="K13">
        <v>163.87</v>
      </c>
      <c r="L13" t="s">
        <v>214</v>
      </c>
      <c r="N13">
        <v>163.87</v>
      </c>
      <c r="P13">
        <v>1</v>
      </c>
      <c r="Q13">
        <v>0</v>
      </c>
    </row>
    <row r="14" spans="1:17" x14ac:dyDescent="0.35">
      <c r="A14" t="s">
        <v>30</v>
      </c>
      <c r="B14" t="s">
        <v>43</v>
      </c>
      <c r="C14">
        <v>3</v>
      </c>
      <c r="D14">
        <v>1.9</v>
      </c>
      <c r="E14" t="s">
        <v>44</v>
      </c>
      <c r="F14" t="s">
        <v>14</v>
      </c>
      <c r="G14" t="s">
        <v>24</v>
      </c>
      <c r="H14" t="s">
        <v>16</v>
      </c>
      <c r="I14" t="s">
        <v>45</v>
      </c>
      <c r="K14">
        <v>58.4</v>
      </c>
      <c r="L14" t="s">
        <v>212</v>
      </c>
      <c r="N14">
        <v>58.4</v>
      </c>
      <c r="P14">
        <v>0</v>
      </c>
      <c r="Q14">
        <v>0</v>
      </c>
    </row>
    <row r="15" spans="1:17" x14ac:dyDescent="0.35">
      <c r="A15" t="s">
        <v>25</v>
      </c>
      <c r="B15" t="s">
        <v>46</v>
      </c>
      <c r="C15">
        <v>3</v>
      </c>
      <c r="D15">
        <v>4.59</v>
      </c>
      <c r="E15" t="s">
        <v>44</v>
      </c>
      <c r="F15" t="s">
        <v>14</v>
      </c>
      <c r="G15" t="s">
        <v>15</v>
      </c>
      <c r="H15" t="s">
        <v>16</v>
      </c>
      <c r="I15" t="s">
        <v>38</v>
      </c>
      <c r="K15">
        <v>33.74</v>
      </c>
      <c r="L15" t="s">
        <v>212</v>
      </c>
      <c r="N15">
        <v>33.74</v>
      </c>
      <c r="P15">
        <v>0</v>
      </c>
      <c r="Q15">
        <v>0</v>
      </c>
    </row>
    <row r="16" spans="1:17" x14ac:dyDescent="0.35">
      <c r="A16" t="s">
        <v>11</v>
      </c>
      <c r="B16" t="s">
        <v>161</v>
      </c>
      <c r="C16">
        <v>3</v>
      </c>
      <c r="D16">
        <v>1.82</v>
      </c>
      <c r="E16" t="s">
        <v>13</v>
      </c>
      <c r="F16" t="s">
        <v>14</v>
      </c>
      <c r="G16" t="s">
        <v>15</v>
      </c>
      <c r="H16" t="s">
        <v>28</v>
      </c>
      <c r="I16" t="s">
        <v>162</v>
      </c>
      <c r="J16" t="s">
        <v>163</v>
      </c>
      <c r="K16">
        <v>73.52</v>
      </c>
      <c r="L16" t="s">
        <v>213</v>
      </c>
      <c r="N16">
        <v>73.52</v>
      </c>
      <c r="P16">
        <v>1</v>
      </c>
      <c r="Q16">
        <v>0</v>
      </c>
    </row>
    <row r="17" spans="1:17" x14ac:dyDescent="0.35">
      <c r="A17" t="s">
        <v>25</v>
      </c>
      <c r="B17" t="s">
        <v>164</v>
      </c>
      <c r="C17">
        <v>3</v>
      </c>
      <c r="D17">
        <v>4.75</v>
      </c>
      <c r="E17" t="s">
        <v>70</v>
      </c>
      <c r="F17" t="s">
        <v>14</v>
      </c>
      <c r="G17" t="s">
        <v>24</v>
      </c>
      <c r="H17" t="s">
        <v>16</v>
      </c>
      <c r="I17" t="s">
        <v>154</v>
      </c>
      <c r="J17" t="s">
        <v>155</v>
      </c>
      <c r="K17">
        <v>147.22</v>
      </c>
      <c r="L17" t="s">
        <v>215</v>
      </c>
      <c r="N17">
        <v>147.22</v>
      </c>
      <c r="P17">
        <v>1</v>
      </c>
      <c r="Q17">
        <v>0</v>
      </c>
    </row>
    <row r="18" spans="1:17" x14ac:dyDescent="0.35">
      <c r="A18" t="s">
        <v>25</v>
      </c>
      <c r="B18" t="s">
        <v>47</v>
      </c>
      <c r="C18">
        <v>3</v>
      </c>
      <c r="D18">
        <v>2.5299999999999998</v>
      </c>
      <c r="E18" t="s">
        <v>48</v>
      </c>
      <c r="F18" t="s">
        <v>14</v>
      </c>
      <c r="G18" t="s">
        <v>15</v>
      </c>
      <c r="H18" t="s">
        <v>28</v>
      </c>
      <c r="I18" t="s">
        <v>49</v>
      </c>
      <c r="K18">
        <v>57.97</v>
      </c>
      <c r="L18" t="s">
        <v>212</v>
      </c>
      <c r="N18">
        <v>57.97</v>
      </c>
      <c r="P18">
        <v>0</v>
      </c>
      <c r="Q18">
        <v>0</v>
      </c>
    </row>
    <row r="19" spans="1:17" x14ac:dyDescent="0.35">
      <c r="A19" t="s">
        <v>25</v>
      </c>
      <c r="B19" t="s">
        <v>50</v>
      </c>
      <c r="C19">
        <v>3</v>
      </c>
      <c r="D19">
        <v>1.77</v>
      </c>
      <c r="E19" t="s">
        <v>51</v>
      </c>
      <c r="F19" t="s">
        <v>14</v>
      </c>
      <c r="G19" t="s">
        <v>24</v>
      </c>
      <c r="H19" t="s">
        <v>41</v>
      </c>
      <c r="I19" t="s">
        <v>33</v>
      </c>
      <c r="K19">
        <v>15.81</v>
      </c>
      <c r="L19" t="s">
        <v>212</v>
      </c>
      <c r="N19">
        <v>15.81</v>
      </c>
      <c r="P19">
        <v>0</v>
      </c>
      <c r="Q19">
        <v>0</v>
      </c>
    </row>
    <row r="20" spans="1:17" x14ac:dyDescent="0.35">
      <c r="A20" t="s">
        <v>30</v>
      </c>
      <c r="B20" t="s">
        <v>52</v>
      </c>
      <c r="C20">
        <v>1</v>
      </c>
      <c r="D20">
        <v>3.07</v>
      </c>
      <c r="E20" t="s">
        <v>53</v>
      </c>
      <c r="F20" t="s">
        <v>14</v>
      </c>
      <c r="G20" t="s">
        <v>15</v>
      </c>
      <c r="H20" t="s">
        <v>16</v>
      </c>
      <c r="I20" t="s">
        <v>17</v>
      </c>
      <c r="K20">
        <v>16.05</v>
      </c>
      <c r="L20" t="s">
        <v>212</v>
      </c>
      <c r="M20">
        <v>16.05</v>
      </c>
      <c r="P20">
        <v>0</v>
      </c>
      <c r="Q20">
        <v>0</v>
      </c>
    </row>
    <row r="21" spans="1:17" x14ac:dyDescent="0.35">
      <c r="A21" t="s">
        <v>18</v>
      </c>
      <c r="B21" t="s">
        <v>55</v>
      </c>
      <c r="C21">
        <v>1</v>
      </c>
      <c r="D21">
        <v>3.99</v>
      </c>
      <c r="E21" t="s">
        <v>56</v>
      </c>
      <c r="F21" t="s">
        <v>14</v>
      </c>
      <c r="G21" t="s">
        <v>15</v>
      </c>
      <c r="H21" t="s">
        <v>16</v>
      </c>
      <c r="I21" t="s">
        <v>49</v>
      </c>
      <c r="K21">
        <v>23.19</v>
      </c>
      <c r="L21" t="s">
        <v>212</v>
      </c>
      <c r="M21">
        <v>23.19</v>
      </c>
      <c r="P21">
        <v>0</v>
      </c>
      <c r="Q21">
        <v>0</v>
      </c>
    </row>
    <row r="22" spans="1:17" x14ac:dyDescent="0.35">
      <c r="A22" t="s">
        <v>11</v>
      </c>
      <c r="B22" t="s">
        <v>58</v>
      </c>
      <c r="C22">
        <v>1</v>
      </c>
      <c r="D22">
        <v>1.2</v>
      </c>
      <c r="E22" t="s">
        <v>48</v>
      </c>
      <c r="F22" t="s">
        <v>14</v>
      </c>
      <c r="G22" t="s">
        <v>24</v>
      </c>
      <c r="H22" t="s">
        <v>16</v>
      </c>
      <c r="I22" t="s">
        <v>45</v>
      </c>
      <c r="K22">
        <v>29.37</v>
      </c>
      <c r="L22" t="s">
        <v>212</v>
      </c>
      <c r="M22">
        <v>29.37</v>
      </c>
      <c r="P22">
        <v>0</v>
      </c>
      <c r="Q22">
        <v>0</v>
      </c>
    </row>
    <row r="23" spans="1:17" x14ac:dyDescent="0.35">
      <c r="A23" t="s">
        <v>11</v>
      </c>
      <c r="B23" t="s">
        <v>165</v>
      </c>
      <c r="C23">
        <v>1</v>
      </c>
      <c r="D23">
        <v>1.08</v>
      </c>
      <c r="E23" t="s">
        <v>77</v>
      </c>
      <c r="F23" t="s">
        <v>14</v>
      </c>
      <c r="G23" t="s">
        <v>24</v>
      </c>
      <c r="H23" t="s">
        <v>16</v>
      </c>
      <c r="I23" t="s">
        <v>166</v>
      </c>
      <c r="K23">
        <v>63.05</v>
      </c>
      <c r="L23" t="s">
        <v>213</v>
      </c>
      <c r="M23">
        <v>63.05</v>
      </c>
      <c r="P23">
        <v>1</v>
      </c>
      <c r="Q23">
        <v>1</v>
      </c>
    </row>
    <row r="24" spans="1:17" x14ac:dyDescent="0.35">
      <c r="A24" t="s">
        <v>18</v>
      </c>
      <c r="B24" t="s">
        <v>168</v>
      </c>
      <c r="C24">
        <v>1</v>
      </c>
      <c r="D24">
        <v>1.19</v>
      </c>
      <c r="E24" t="s">
        <v>96</v>
      </c>
      <c r="F24" t="s">
        <v>14</v>
      </c>
      <c r="G24" t="s">
        <v>15</v>
      </c>
      <c r="H24" t="s">
        <v>41</v>
      </c>
      <c r="I24" t="s">
        <v>166</v>
      </c>
      <c r="J24" t="s">
        <v>167</v>
      </c>
      <c r="K24">
        <v>144.72</v>
      </c>
      <c r="L24" t="s">
        <v>213</v>
      </c>
      <c r="M24">
        <v>144.72</v>
      </c>
      <c r="P24">
        <v>1</v>
      </c>
      <c r="Q24">
        <v>0</v>
      </c>
    </row>
    <row r="25" spans="1:17" x14ac:dyDescent="0.35">
      <c r="A25" t="s">
        <v>11</v>
      </c>
      <c r="B25" t="s">
        <v>169</v>
      </c>
      <c r="C25">
        <v>1</v>
      </c>
      <c r="D25">
        <v>3.05</v>
      </c>
      <c r="E25" t="s">
        <v>79</v>
      </c>
      <c r="F25" t="s">
        <v>14</v>
      </c>
      <c r="G25" t="s">
        <v>15</v>
      </c>
      <c r="H25" t="s">
        <v>16</v>
      </c>
      <c r="I25" t="s">
        <v>166</v>
      </c>
      <c r="J25" t="s">
        <v>167</v>
      </c>
      <c r="K25">
        <v>159.19</v>
      </c>
      <c r="L25" t="s">
        <v>213</v>
      </c>
      <c r="M25">
        <v>159.19</v>
      </c>
      <c r="P25">
        <v>1</v>
      </c>
      <c r="Q25">
        <v>0</v>
      </c>
    </row>
    <row r="26" spans="1:17" x14ac:dyDescent="0.35">
      <c r="A26" t="s">
        <v>11</v>
      </c>
      <c r="B26" t="s">
        <v>170</v>
      </c>
      <c r="C26">
        <v>3</v>
      </c>
      <c r="D26">
        <v>0.62</v>
      </c>
      <c r="E26" t="s">
        <v>53</v>
      </c>
      <c r="F26" t="s">
        <v>14</v>
      </c>
      <c r="G26" t="s">
        <v>24</v>
      </c>
      <c r="H26" t="s">
        <v>16</v>
      </c>
      <c r="I26" t="s">
        <v>154</v>
      </c>
      <c r="J26" t="s">
        <v>155</v>
      </c>
      <c r="K26">
        <v>74.47</v>
      </c>
      <c r="L26" t="s">
        <v>215</v>
      </c>
      <c r="N26">
        <v>74.47</v>
      </c>
      <c r="P26">
        <v>1</v>
      </c>
      <c r="Q26">
        <v>0</v>
      </c>
    </row>
    <row r="27" spans="1:17" x14ac:dyDescent="0.35">
      <c r="A27" t="s">
        <v>11</v>
      </c>
      <c r="B27" t="s">
        <v>62</v>
      </c>
      <c r="C27">
        <v>3</v>
      </c>
      <c r="D27">
        <v>0.69</v>
      </c>
      <c r="E27" t="s">
        <v>37</v>
      </c>
      <c r="F27" t="s">
        <v>14</v>
      </c>
      <c r="G27" t="s">
        <v>24</v>
      </c>
      <c r="H27" t="s">
        <v>28</v>
      </c>
      <c r="I27" t="s">
        <v>21</v>
      </c>
      <c r="K27">
        <v>16.61</v>
      </c>
      <c r="L27" t="s">
        <v>212</v>
      </c>
      <c r="N27">
        <v>16.61</v>
      </c>
      <c r="P27">
        <v>0</v>
      </c>
      <c r="Q27">
        <v>0</v>
      </c>
    </row>
    <row r="28" spans="1:17" x14ac:dyDescent="0.35">
      <c r="A28" t="s">
        <v>18</v>
      </c>
      <c r="B28" t="s">
        <v>171</v>
      </c>
      <c r="C28">
        <v>1</v>
      </c>
      <c r="D28">
        <v>3.46</v>
      </c>
      <c r="E28" t="s">
        <v>44</v>
      </c>
      <c r="F28" t="s">
        <v>14</v>
      </c>
      <c r="G28" t="s">
        <v>24</v>
      </c>
      <c r="H28" t="s">
        <v>28</v>
      </c>
      <c r="I28" t="s">
        <v>166</v>
      </c>
      <c r="J28" t="s">
        <v>167</v>
      </c>
      <c r="K28">
        <v>41.3</v>
      </c>
      <c r="L28" t="s">
        <v>213</v>
      </c>
      <c r="M28">
        <v>41.3</v>
      </c>
      <c r="P28">
        <v>1</v>
      </c>
      <c r="Q28">
        <v>0</v>
      </c>
    </row>
    <row r="29" spans="1:17" x14ac:dyDescent="0.35">
      <c r="A29" t="s">
        <v>11</v>
      </c>
      <c r="B29" t="s">
        <v>172</v>
      </c>
      <c r="C29">
        <v>1</v>
      </c>
      <c r="D29">
        <v>2.83</v>
      </c>
      <c r="E29" t="s">
        <v>79</v>
      </c>
      <c r="F29" t="s">
        <v>14</v>
      </c>
      <c r="G29" t="s">
        <v>24</v>
      </c>
      <c r="H29" t="s">
        <v>16</v>
      </c>
      <c r="I29" t="s">
        <v>166</v>
      </c>
      <c r="J29" t="s">
        <v>167</v>
      </c>
      <c r="K29">
        <v>163.1</v>
      </c>
      <c r="L29" t="s">
        <v>213</v>
      </c>
      <c r="M29">
        <v>163.1</v>
      </c>
      <c r="P29">
        <v>1</v>
      </c>
      <c r="Q29">
        <v>0</v>
      </c>
    </row>
    <row r="30" spans="1:17" x14ac:dyDescent="0.35">
      <c r="A30" t="s">
        <v>30</v>
      </c>
      <c r="B30" t="s">
        <v>174</v>
      </c>
      <c r="C30">
        <v>3</v>
      </c>
      <c r="D30">
        <v>0.79</v>
      </c>
      <c r="E30" t="s">
        <v>40</v>
      </c>
      <c r="F30" t="s">
        <v>14</v>
      </c>
      <c r="G30" t="s">
        <v>24</v>
      </c>
      <c r="H30" t="s">
        <v>16</v>
      </c>
      <c r="I30" t="s">
        <v>151</v>
      </c>
      <c r="J30" t="s">
        <v>152</v>
      </c>
      <c r="K30">
        <v>117.45</v>
      </c>
      <c r="L30" t="s">
        <v>214</v>
      </c>
      <c r="N30">
        <v>117.45</v>
      </c>
      <c r="P30">
        <v>1</v>
      </c>
      <c r="Q30">
        <v>0</v>
      </c>
    </row>
    <row r="31" spans="1:17" x14ac:dyDescent="0.35">
      <c r="A31" t="s">
        <v>30</v>
      </c>
      <c r="B31" t="s">
        <v>65</v>
      </c>
      <c r="C31">
        <v>1</v>
      </c>
      <c r="D31">
        <v>0.73</v>
      </c>
      <c r="E31" t="s">
        <v>56</v>
      </c>
      <c r="F31" t="s">
        <v>14</v>
      </c>
      <c r="G31" t="s">
        <v>24</v>
      </c>
      <c r="H31" t="s">
        <v>16</v>
      </c>
      <c r="I31" t="s">
        <v>38</v>
      </c>
      <c r="K31">
        <v>39.32</v>
      </c>
      <c r="L31" t="s">
        <v>212</v>
      </c>
      <c r="M31">
        <v>39.32</v>
      </c>
      <c r="P31">
        <v>0</v>
      </c>
      <c r="Q31">
        <v>0</v>
      </c>
    </row>
    <row r="32" spans="1:17" x14ac:dyDescent="0.35">
      <c r="A32" t="s">
        <v>30</v>
      </c>
      <c r="B32" t="s">
        <v>66</v>
      </c>
      <c r="C32">
        <v>1</v>
      </c>
      <c r="D32">
        <v>3.78</v>
      </c>
      <c r="E32" t="s">
        <v>48</v>
      </c>
      <c r="F32" t="s">
        <v>14</v>
      </c>
      <c r="G32" t="s">
        <v>24</v>
      </c>
      <c r="H32" t="s">
        <v>41</v>
      </c>
      <c r="I32" t="s">
        <v>42</v>
      </c>
      <c r="K32">
        <v>56.87</v>
      </c>
      <c r="L32" t="s">
        <v>212</v>
      </c>
      <c r="M32">
        <v>56.87</v>
      </c>
      <c r="P32">
        <v>0</v>
      </c>
      <c r="Q32">
        <v>0</v>
      </c>
    </row>
    <row r="33" spans="1:17" x14ac:dyDescent="0.35">
      <c r="A33" t="s">
        <v>25</v>
      </c>
      <c r="B33" t="s">
        <v>67</v>
      </c>
      <c r="C33">
        <v>3</v>
      </c>
      <c r="D33">
        <v>0.47</v>
      </c>
      <c r="E33" t="s">
        <v>51</v>
      </c>
      <c r="F33" t="s">
        <v>14</v>
      </c>
      <c r="G33" t="s">
        <v>15</v>
      </c>
      <c r="H33" t="s">
        <v>28</v>
      </c>
      <c r="I33" t="s">
        <v>45</v>
      </c>
      <c r="K33">
        <v>23.79</v>
      </c>
      <c r="L33" t="s">
        <v>212</v>
      </c>
      <c r="N33">
        <v>23.79</v>
      </c>
      <c r="P33">
        <v>0</v>
      </c>
      <c r="Q33">
        <v>0</v>
      </c>
    </row>
    <row r="34" spans="1:17" x14ac:dyDescent="0.35">
      <c r="A34" t="s">
        <v>25</v>
      </c>
      <c r="B34" t="s">
        <v>68</v>
      </c>
      <c r="C34">
        <v>1</v>
      </c>
      <c r="D34">
        <v>4.3600000000000003</v>
      </c>
      <c r="E34" t="s">
        <v>27</v>
      </c>
      <c r="F34" t="s">
        <v>14</v>
      </c>
      <c r="G34" t="s">
        <v>24</v>
      </c>
      <c r="H34" t="s">
        <v>16</v>
      </c>
      <c r="I34" t="s">
        <v>21</v>
      </c>
      <c r="K34">
        <v>47.6</v>
      </c>
      <c r="L34" t="s">
        <v>212</v>
      </c>
      <c r="M34">
        <v>47.6</v>
      </c>
      <c r="P34">
        <v>0</v>
      </c>
      <c r="Q34">
        <v>0</v>
      </c>
    </row>
    <row r="35" spans="1:17" x14ac:dyDescent="0.35">
      <c r="A35" t="s">
        <v>18</v>
      </c>
      <c r="B35" t="s">
        <v>176</v>
      </c>
      <c r="C35">
        <v>3</v>
      </c>
      <c r="D35">
        <v>4.3600000000000003</v>
      </c>
      <c r="E35" t="s">
        <v>53</v>
      </c>
      <c r="F35" t="s">
        <v>14</v>
      </c>
      <c r="G35" t="s">
        <v>24</v>
      </c>
      <c r="H35" t="s">
        <v>16</v>
      </c>
      <c r="I35" t="s">
        <v>166</v>
      </c>
      <c r="J35" t="s">
        <v>167</v>
      </c>
      <c r="K35">
        <v>93.56</v>
      </c>
      <c r="L35" t="s">
        <v>213</v>
      </c>
      <c r="N35">
        <v>93.56</v>
      </c>
      <c r="P35">
        <v>1</v>
      </c>
      <c r="Q35">
        <v>0</v>
      </c>
    </row>
    <row r="36" spans="1:17" x14ac:dyDescent="0.35">
      <c r="A36" t="s">
        <v>30</v>
      </c>
      <c r="B36" t="s">
        <v>180</v>
      </c>
      <c r="C36">
        <v>1</v>
      </c>
      <c r="D36">
        <v>0.84</v>
      </c>
      <c r="E36" t="s">
        <v>20</v>
      </c>
      <c r="F36" t="s">
        <v>14</v>
      </c>
      <c r="G36" t="s">
        <v>15</v>
      </c>
      <c r="H36" t="s">
        <v>41</v>
      </c>
      <c r="I36" t="s">
        <v>162</v>
      </c>
      <c r="J36" t="s">
        <v>163</v>
      </c>
      <c r="K36">
        <v>45.36</v>
      </c>
      <c r="L36" t="s">
        <v>213</v>
      </c>
      <c r="M36">
        <v>45.36</v>
      </c>
      <c r="P36">
        <v>1</v>
      </c>
      <c r="Q36">
        <v>0</v>
      </c>
    </row>
    <row r="37" spans="1:17" x14ac:dyDescent="0.35">
      <c r="A37" t="s">
        <v>30</v>
      </c>
      <c r="B37" t="s">
        <v>71</v>
      </c>
      <c r="C37">
        <v>3</v>
      </c>
      <c r="D37">
        <v>2.2200000000000002</v>
      </c>
      <c r="E37" t="s">
        <v>35</v>
      </c>
      <c r="F37" t="s">
        <v>14</v>
      </c>
      <c r="G37" t="s">
        <v>24</v>
      </c>
      <c r="H37" t="s">
        <v>41</v>
      </c>
      <c r="I37" t="s">
        <v>49</v>
      </c>
      <c r="K37">
        <v>40.9</v>
      </c>
      <c r="L37" t="s">
        <v>212</v>
      </c>
      <c r="N37">
        <v>40.9</v>
      </c>
      <c r="P37">
        <v>0</v>
      </c>
      <c r="Q37">
        <v>0</v>
      </c>
    </row>
    <row r="38" spans="1:17" x14ac:dyDescent="0.35">
      <c r="A38" t="s">
        <v>18</v>
      </c>
      <c r="B38" t="s">
        <v>72</v>
      </c>
      <c r="C38">
        <v>3</v>
      </c>
      <c r="D38">
        <v>3.82</v>
      </c>
      <c r="E38" t="s">
        <v>27</v>
      </c>
      <c r="F38" t="s">
        <v>14</v>
      </c>
      <c r="G38" t="s">
        <v>24</v>
      </c>
      <c r="H38" t="s">
        <v>28</v>
      </c>
      <c r="I38" t="s">
        <v>17</v>
      </c>
      <c r="K38">
        <v>20.32</v>
      </c>
      <c r="L38" t="s">
        <v>212</v>
      </c>
      <c r="N38">
        <v>20.32</v>
      </c>
      <c r="P38">
        <v>0</v>
      </c>
      <c r="Q38">
        <v>0</v>
      </c>
    </row>
    <row r="39" spans="1:17" x14ac:dyDescent="0.35">
      <c r="A39" t="s">
        <v>25</v>
      </c>
      <c r="B39" t="s">
        <v>184</v>
      </c>
      <c r="C39">
        <v>3</v>
      </c>
      <c r="D39">
        <v>0.7</v>
      </c>
      <c r="E39" t="s">
        <v>79</v>
      </c>
      <c r="F39" t="s">
        <v>14</v>
      </c>
      <c r="G39" t="s">
        <v>24</v>
      </c>
      <c r="H39" t="s">
        <v>16</v>
      </c>
      <c r="I39" t="s">
        <v>178</v>
      </c>
      <c r="J39" t="s">
        <v>179</v>
      </c>
      <c r="K39">
        <v>134.19</v>
      </c>
      <c r="L39" t="s">
        <v>213</v>
      </c>
      <c r="N39">
        <v>134.19</v>
      </c>
      <c r="P39">
        <v>1</v>
      </c>
      <c r="Q39">
        <v>0</v>
      </c>
    </row>
    <row r="40" spans="1:17" x14ac:dyDescent="0.35">
      <c r="A40" t="s">
        <v>25</v>
      </c>
      <c r="B40" t="s">
        <v>75</v>
      </c>
      <c r="C40">
        <v>1</v>
      </c>
      <c r="D40">
        <v>0.99</v>
      </c>
      <c r="E40" t="s">
        <v>32</v>
      </c>
      <c r="F40" t="s">
        <v>14</v>
      </c>
      <c r="G40" t="s">
        <v>15</v>
      </c>
      <c r="H40" t="s">
        <v>28</v>
      </c>
      <c r="I40" t="s">
        <v>42</v>
      </c>
      <c r="K40">
        <v>28.96</v>
      </c>
      <c r="L40" t="s">
        <v>212</v>
      </c>
      <c r="M40">
        <v>28.96</v>
      </c>
      <c r="P40">
        <v>0</v>
      </c>
      <c r="Q40">
        <v>0</v>
      </c>
    </row>
    <row r="41" spans="1:17" x14ac:dyDescent="0.35">
      <c r="A41" t="s">
        <v>25</v>
      </c>
      <c r="B41" t="s">
        <v>76</v>
      </c>
      <c r="C41">
        <v>3</v>
      </c>
      <c r="D41">
        <v>3.57</v>
      </c>
      <c r="E41" t="s">
        <v>77</v>
      </c>
      <c r="F41" t="s">
        <v>14</v>
      </c>
      <c r="G41" t="s">
        <v>24</v>
      </c>
      <c r="H41" t="s">
        <v>16</v>
      </c>
      <c r="I41" t="s">
        <v>17</v>
      </c>
      <c r="K41">
        <v>53.88</v>
      </c>
      <c r="L41" t="s">
        <v>212</v>
      </c>
      <c r="N41">
        <v>53.88</v>
      </c>
      <c r="P41">
        <v>0</v>
      </c>
      <c r="Q41">
        <v>0</v>
      </c>
    </row>
    <row r="42" spans="1:17" x14ac:dyDescent="0.35">
      <c r="A42" t="s">
        <v>18</v>
      </c>
      <c r="B42" t="s">
        <v>80</v>
      </c>
      <c r="C42">
        <v>3</v>
      </c>
      <c r="D42">
        <v>2.8</v>
      </c>
      <c r="E42" t="s">
        <v>48</v>
      </c>
      <c r="F42" t="s">
        <v>14</v>
      </c>
      <c r="G42" t="s">
        <v>24</v>
      </c>
      <c r="H42" t="s">
        <v>28</v>
      </c>
      <c r="I42" t="s">
        <v>29</v>
      </c>
      <c r="K42">
        <v>27.32</v>
      </c>
      <c r="L42" t="s">
        <v>212</v>
      </c>
      <c r="N42">
        <v>27.32</v>
      </c>
      <c r="P42">
        <v>0</v>
      </c>
      <c r="Q42">
        <v>0</v>
      </c>
    </row>
    <row r="43" spans="1:17" x14ac:dyDescent="0.35">
      <c r="A43" t="s">
        <v>18</v>
      </c>
      <c r="B43" t="s">
        <v>185</v>
      </c>
      <c r="C43">
        <v>1</v>
      </c>
      <c r="D43">
        <v>3.8</v>
      </c>
      <c r="E43" t="s">
        <v>77</v>
      </c>
      <c r="F43" t="s">
        <v>14</v>
      </c>
      <c r="G43" t="s">
        <v>24</v>
      </c>
      <c r="H43" t="s">
        <v>28</v>
      </c>
      <c r="I43" t="s">
        <v>151</v>
      </c>
      <c r="J43" t="s">
        <v>152</v>
      </c>
      <c r="K43">
        <v>78.819999999999993</v>
      </c>
      <c r="L43" t="s">
        <v>214</v>
      </c>
      <c r="M43">
        <v>78.819999999999993</v>
      </c>
      <c r="P43">
        <v>1</v>
      </c>
      <c r="Q43">
        <v>0</v>
      </c>
    </row>
    <row r="44" spans="1:17" x14ac:dyDescent="0.35">
      <c r="A44" t="s">
        <v>18</v>
      </c>
      <c r="B44" t="s">
        <v>81</v>
      </c>
      <c r="C44">
        <v>3</v>
      </c>
      <c r="D44">
        <v>1.42</v>
      </c>
      <c r="E44" t="s">
        <v>61</v>
      </c>
      <c r="F44" t="s">
        <v>14</v>
      </c>
      <c r="G44" t="s">
        <v>15</v>
      </c>
      <c r="H44" t="s">
        <v>41</v>
      </c>
      <c r="I44" t="s">
        <v>45</v>
      </c>
      <c r="K44">
        <v>22.14</v>
      </c>
      <c r="L44" t="s">
        <v>212</v>
      </c>
      <c r="N44">
        <v>22.14</v>
      </c>
      <c r="P44">
        <v>0</v>
      </c>
      <c r="Q44">
        <v>0</v>
      </c>
    </row>
    <row r="45" spans="1:17" x14ac:dyDescent="0.35">
      <c r="A45" t="s">
        <v>11</v>
      </c>
      <c r="B45" t="s">
        <v>82</v>
      </c>
      <c r="C45">
        <v>1</v>
      </c>
      <c r="D45">
        <v>1.01</v>
      </c>
      <c r="E45" t="s">
        <v>35</v>
      </c>
      <c r="F45" t="s">
        <v>14</v>
      </c>
      <c r="G45" t="s">
        <v>15</v>
      </c>
      <c r="H45" t="s">
        <v>41</v>
      </c>
      <c r="I45" t="s">
        <v>49</v>
      </c>
      <c r="K45">
        <v>26.23</v>
      </c>
      <c r="L45" t="s">
        <v>212</v>
      </c>
      <c r="M45">
        <v>26.23</v>
      </c>
      <c r="P45">
        <v>0</v>
      </c>
      <c r="Q45">
        <v>0</v>
      </c>
    </row>
    <row r="46" spans="1:17" x14ac:dyDescent="0.35">
      <c r="A46" t="s">
        <v>18</v>
      </c>
      <c r="B46" t="s">
        <v>84</v>
      </c>
      <c r="C46">
        <v>1</v>
      </c>
      <c r="D46">
        <v>4.91</v>
      </c>
      <c r="E46" t="s">
        <v>48</v>
      </c>
      <c r="F46" t="s">
        <v>14</v>
      </c>
      <c r="G46" t="s">
        <v>15</v>
      </c>
      <c r="H46" t="s">
        <v>28</v>
      </c>
      <c r="I46" t="s">
        <v>17</v>
      </c>
      <c r="K46">
        <v>7.79</v>
      </c>
      <c r="L46" t="s">
        <v>212</v>
      </c>
      <c r="M46">
        <v>7.79</v>
      </c>
      <c r="P46">
        <v>0</v>
      </c>
      <c r="Q46">
        <v>0</v>
      </c>
    </row>
    <row r="47" spans="1:17" x14ac:dyDescent="0.35">
      <c r="A47" t="s">
        <v>18</v>
      </c>
      <c r="B47" t="s">
        <v>85</v>
      </c>
      <c r="C47">
        <v>1</v>
      </c>
      <c r="D47">
        <v>4.37</v>
      </c>
      <c r="E47" t="s">
        <v>27</v>
      </c>
      <c r="F47" t="s">
        <v>14</v>
      </c>
      <c r="G47" t="s">
        <v>15</v>
      </c>
      <c r="H47" t="s">
        <v>28</v>
      </c>
      <c r="I47" t="s">
        <v>33</v>
      </c>
      <c r="K47">
        <v>28.92</v>
      </c>
      <c r="L47" t="s">
        <v>212</v>
      </c>
      <c r="M47">
        <v>28.92</v>
      </c>
      <c r="P47">
        <v>0</v>
      </c>
      <c r="Q47">
        <v>0</v>
      </c>
    </row>
    <row r="48" spans="1:17" x14ac:dyDescent="0.35">
      <c r="A48" t="s">
        <v>30</v>
      </c>
      <c r="B48" t="s">
        <v>87</v>
      </c>
      <c r="C48">
        <v>1</v>
      </c>
      <c r="D48">
        <v>3.36</v>
      </c>
      <c r="E48" t="s">
        <v>32</v>
      </c>
      <c r="F48" t="s">
        <v>14</v>
      </c>
      <c r="G48" t="s">
        <v>15</v>
      </c>
      <c r="H48" t="s">
        <v>16</v>
      </c>
      <c r="I48" t="s">
        <v>17</v>
      </c>
      <c r="K48">
        <v>38.42</v>
      </c>
      <c r="L48" t="s">
        <v>212</v>
      </c>
      <c r="M48">
        <v>38.42</v>
      </c>
      <c r="P48">
        <v>0</v>
      </c>
      <c r="Q48">
        <v>0</v>
      </c>
    </row>
    <row r="49" spans="1:17" x14ac:dyDescent="0.35">
      <c r="A49" t="s">
        <v>25</v>
      </c>
      <c r="B49" t="s">
        <v>88</v>
      </c>
      <c r="C49">
        <v>1</v>
      </c>
      <c r="D49">
        <v>2.5299999999999998</v>
      </c>
      <c r="E49" t="s">
        <v>23</v>
      </c>
      <c r="F49" t="s">
        <v>14</v>
      </c>
      <c r="G49" t="s">
        <v>15</v>
      </c>
      <c r="H49" t="s">
        <v>28</v>
      </c>
      <c r="I49" t="s">
        <v>21</v>
      </c>
      <c r="K49">
        <v>12.56</v>
      </c>
      <c r="L49" t="s">
        <v>212</v>
      </c>
      <c r="M49">
        <v>12.56</v>
      </c>
      <c r="P49">
        <v>0</v>
      </c>
      <c r="Q49">
        <v>0</v>
      </c>
    </row>
    <row r="50" spans="1:17" x14ac:dyDescent="0.35">
      <c r="A50" t="s">
        <v>11</v>
      </c>
      <c r="B50" t="s">
        <v>89</v>
      </c>
      <c r="C50">
        <v>1</v>
      </c>
      <c r="D50">
        <v>4.83</v>
      </c>
      <c r="E50" t="s">
        <v>23</v>
      </c>
      <c r="F50" t="s">
        <v>14</v>
      </c>
      <c r="G50" t="s">
        <v>15</v>
      </c>
      <c r="H50" t="s">
        <v>28</v>
      </c>
      <c r="I50" t="s">
        <v>49</v>
      </c>
      <c r="K50">
        <v>25.61</v>
      </c>
      <c r="L50" t="s">
        <v>212</v>
      </c>
      <c r="M50">
        <v>25.61</v>
      </c>
      <c r="P50">
        <v>0</v>
      </c>
      <c r="Q50">
        <v>0</v>
      </c>
    </row>
    <row r="51" spans="1:17" x14ac:dyDescent="0.35">
      <c r="A51" t="s">
        <v>25</v>
      </c>
      <c r="B51" t="s">
        <v>188</v>
      </c>
      <c r="C51">
        <v>1</v>
      </c>
      <c r="D51">
        <v>3.08</v>
      </c>
      <c r="E51" t="s">
        <v>53</v>
      </c>
      <c r="F51" t="s">
        <v>14</v>
      </c>
      <c r="G51" t="s">
        <v>15</v>
      </c>
      <c r="H51" t="s">
        <v>41</v>
      </c>
      <c r="I51" t="s">
        <v>151</v>
      </c>
      <c r="J51" t="s">
        <v>152</v>
      </c>
      <c r="K51">
        <v>124.06</v>
      </c>
      <c r="L51" t="s">
        <v>214</v>
      </c>
      <c r="M51">
        <v>124.06</v>
      </c>
      <c r="P51">
        <v>1</v>
      </c>
      <c r="Q51">
        <v>0</v>
      </c>
    </row>
    <row r="52" spans="1:17" x14ac:dyDescent="0.35">
      <c r="A52" t="s">
        <v>11</v>
      </c>
      <c r="B52" t="s">
        <v>90</v>
      </c>
      <c r="C52">
        <v>3</v>
      </c>
      <c r="D52">
        <v>3.98</v>
      </c>
      <c r="E52" t="s">
        <v>51</v>
      </c>
      <c r="F52" t="s">
        <v>14</v>
      </c>
      <c r="G52" t="s">
        <v>24</v>
      </c>
      <c r="H52" t="s">
        <v>41</v>
      </c>
      <c r="I52" t="s">
        <v>29</v>
      </c>
      <c r="K52">
        <v>39.909999999999997</v>
      </c>
      <c r="L52" t="s">
        <v>212</v>
      </c>
      <c r="N52">
        <v>39.909999999999997</v>
      </c>
      <c r="P52">
        <v>0</v>
      </c>
      <c r="Q52">
        <v>0</v>
      </c>
    </row>
    <row r="53" spans="1:17" x14ac:dyDescent="0.35">
      <c r="A53" t="s">
        <v>18</v>
      </c>
      <c r="B53" t="s">
        <v>93</v>
      </c>
      <c r="C53">
        <v>1</v>
      </c>
      <c r="D53">
        <v>3.75</v>
      </c>
      <c r="E53" t="s">
        <v>20</v>
      </c>
      <c r="F53" t="s">
        <v>14</v>
      </c>
      <c r="G53" t="s">
        <v>24</v>
      </c>
      <c r="H53" t="s">
        <v>28</v>
      </c>
      <c r="I53" t="s">
        <v>45</v>
      </c>
      <c r="K53">
        <v>21.37</v>
      </c>
      <c r="L53" t="s">
        <v>212</v>
      </c>
      <c r="M53">
        <v>21.37</v>
      </c>
      <c r="P53">
        <v>0</v>
      </c>
      <c r="Q53">
        <v>0</v>
      </c>
    </row>
    <row r="54" spans="1:17" x14ac:dyDescent="0.35">
      <c r="A54" t="s">
        <v>25</v>
      </c>
      <c r="B54" t="s">
        <v>94</v>
      </c>
      <c r="C54">
        <v>1</v>
      </c>
      <c r="D54">
        <v>1.61</v>
      </c>
      <c r="E54" t="s">
        <v>61</v>
      </c>
      <c r="F54" t="s">
        <v>14</v>
      </c>
      <c r="G54" t="s">
        <v>15</v>
      </c>
      <c r="H54" t="s">
        <v>28</v>
      </c>
      <c r="I54" t="s">
        <v>49</v>
      </c>
      <c r="K54">
        <v>22.17</v>
      </c>
      <c r="L54" t="s">
        <v>212</v>
      </c>
      <c r="M54">
        <v>22.17</v>
      </c>
      <c r="P54">
        <v>0</v>
      </c>
      <c r="Q54">
        <v>0</v>
      </c>
    </row>
    <row r="55" spans="1:17" x14ac:dyDescent="0.35">
      <c r="A55" t="s">
        <v>25</v>
      </c>
      <c r="B55" t="s">
        <v>189</v>
      </c>
      <c r="C55">
        <v>1</v>
      </c>
      <c r="D55">
        <v>1.43</v>
      </c>
      <c r="E55" t="s">
        <v>56</v>
      </c>
      <c r="F55" t="s">
        <v>14</v>
      </c>
      <c r="G55" t="s">
        <v>24</v>
      </c>
      <c r="H55" t="s">
        <v>41</v>
      </c>
      <c r="I55" t="s">
        <v>151</v>
      </c>
      <c r="J55" t="s">
        <v>152</v>
      </c>
      <c r="K55">
        <v>106.65</v>
      </c>
      <c r="L55" t="s">
        <v>214</v>
      </c>
      <c r="M55">
        <v>106.65</v>
      </c>
      <c r="P55">
        <v>1</v>
      </c>
      <c r="Q55">
        <v>0</v>
      </c>
    </row>
    <row r="56" spans="1:17" x14ac:dyDescent="0.35">
      <c r="A56" t="s">
        <v>25</v>
      </c>
      <c r="B56" t="s">
        <v>100</v>
      </c>
      <c r="C56">
        <v>1</v>
      </c>
      <c r="D56">
        <v>1.32</v>
      </c>
      <c r="E56" t="s">
        <v>77</v>
      </c>
      <c r="F56" t="s">
        <v>14</v>
      </c>
      <c r="G56" t="s">
        <v>24</v>
      </c>
      <c r="H56" t="s">
        <v>41</v>
      </c>
      <c r="I56" t="s">
        <v>29</v>
      </c>
      <c r="K56">
        <v>37.020000000000003</v>
      </c>
      <c r="L56" t="s">
        <v>212</v>
      </c>
      <c r="M56">
        <v>37.020000000000003</v>
      </c>
      <c r="P56">
        <v>0</v>
      </c>
      <c r="Q56">
        <v>0</v>
      </c>
    </row>
    <row r="57" spans="1:17" x14ac:dyDescent="0.35">
      <c r="A57" t="s">
        <v>11</v>
      </c>
      <c r="B57" t="s">
        <v>101</v>
      </c>
      <c r="C57">
        <v>1</v>
      </c>
      <c r="D57">
        <v>1.69</v>
      </c>
      <c r="E57" t="s">
        <v>51</v>
      </c>
      <c r="F57" t="s">
        <v>14</v>
      </c>
      <c r="G57" t="s">
        <v>15</v>
      </c>
      <c r="H57" t="s">
        <v>28</v>
      </c>
      <c r="I57" t="s">
        <v>29</v>
      </c>
      <c r="K57">
        <v>10.220000000000001</v>
      </c>
      <c r="L57" t="s">
        <v>212</v>
      </c>
      <c r="M57">
        <v>10.220000000000001</v>
      </c>
      <c r="P57">
        <v>0</v>
      </c>
      <c r="Q57">
        <v>0</v>
      </c>
    </row>
    <row r="58" spans="1:17" x14ac:dyDescent="0.35">
      <c r="A58" t="s">
        <v>11</v>
      </c>
      <c r="B58" t="s">
        <v>190</v>
      </c>
      <c r="C58">
        <v>1</v>
      </c>
      <c r="D58">
        <v>2.9</v>
      </c>
      <c r="E58" t="s">
        <v>40</v>
      </c>
      <c r="F58" t="s">
        <v>14</v>
      </c>
      <c r="G58" t="s">
        <v>24</v>
      </c>
      <c r="H58" t="s">
        <v>16</v>
      </c>
      <c r="I58" t="s">
        <v>154</v>
      </c>
      <c r="J58" t="s">
        <v>155</v>
      </c>
      <c r="K58">
        <v>79.81</v>
      </c>
      <c r="L58" t="s">
        <v>215</v>
      </c>
      <c r="M58">
        <v>79.81</v>
      </c>
      <c r="P58">
        <v>1</v>
      </c>
      <c r="Q58">
        <v>0</v>
      </c>
    </row>
    <row r="59" spans="1:17" x14ac:dyDescent="0.35">
      <c r="A59" t="s">
        <v>11</v>
      </c>
      <c r="B59" t="s">
        <v>191</v>
      </c>
      <c r="C59">
        <v>3</v>
      </c>
      <c r="D59">
        <v>3.26</v>
      </c>
      <c r="E59" t="s">
        <v>32</v>
      </c>
      <c r="F59" t="s">
        <v>14</v>
      </c>
      <c r="G59" t="s">
        <v>15</v>
      </c>
      <c r="H59" t="s">
        <v>16</v>
      </c>
      <c r="I59" t="s">
        <v>162</v>
      </c>
      <c r="J59" t="s">
        <v>163</v>
      </c>
      <c r="K59">
        <v>51.93</v>
      </c>
      <c r="L59" t="s">
        <v>213</v>
      </c>
      <c r="N59">
        <v>51.93</v>
      </c>
      <c r="P59">
        <v>1</v>
      </c>
      <c r="Q59">
        <v>0</v>
      </c>
    </row>
    <row r="60" spans="1:17" x14ac:dyDescent="0.35">
      <c r="A60" t="s">
        <v>25</v>
      </c>
      <c r="B60" t="s">
        <v>103</v>
      </c>
      <c r="C60">
        <v>1</v>
      </c>
      <c r="D60">
        <v>2.92</v>
      </c>
      <c r="E60" t="s">
        <v>56</v>
      </c>
      <c r="F60" t="s">
        <v>14</v>
      </c>
      <c r="G60" t="s">
        <v>15</v>
      </c>
      <c r="H60" t="s">
        <v>41</v>
      </c>
      <c r="I60" t="s">
        <v>92</v>
      </c>
      <c r="K60">
        <v>19.95</v>
      </c>
      <c r="L60" t="s">
        <v>212</v>
      </c>
      <c r="M60">
        <v>19.95</v>
      </c>
      <c r="P60">
        <v>0</v>
      </c>
      <c r="Q60">
        <v>0</v>
      </c>
    </row>
    <row r="61" spans="1:17" x14ac:dyDescent="0.35">
      <c r="A61" t="s">
        <v>25</v>
      </c>
      <c r="B61" t="s">
        <v>105</v>
      </c>
      <c r="C61">
        <v>1</v>
      </c>
      <c r="D61">
        <v>1.1200000000000001</v>
      </c>
      <c r="E61" t="s">
        <v>70</v>
      </c>
      <c r="F61" t="s">
        <v>14</v>
      </c>
      <c r="G61" t="s">
        <v>15</v>
      </c>
      <c r="H61" t="s">
        <v>16</v>
      </c>
      <c r="I61" t="s">
        <v>92</v>
      </c>
      <c r="K61">
        <v>19.600000000000001</v>
      </c>
      <c r="L61" t="s">
        <v>212</v>
      </c>
      <c r="M61">
        <v>19.600000000000001</v>
      </c>
      <c r="P61">
        <v>0</v>
      </c>
      <c r="Q61">
        <v>0</v>
      </c>
    </row>
    <row r="62" spans="1:17" x14ac:dyDescent="0.35">
      <c r="A62" t="s">
        <v>30</v>
      </c>
      <c r="B62" t="s">
        <v>107</v>
      </c>
      <c r="C62">
        <v>3</v>
      </c>
      <c r="D62">
        <v>3.82</v>
      </c>
      <c r="E62" t="s">
        <v>37</v>
      </c>
      <c r="F62" t="s">
        <v>14</v>
      </c>
      <c r="G62" t="s">
        <v>24</v>
      </c>
      <c r="H62" t="s">
        <v>28</v>
      </c>
      <c r="I62" t="s">
        <v>45</v>
      </c>
      <c r="K62">
        <v>42.88</v>
      </c>
      <c r="L62" t="s">
        <v>212</v>
      </c>
      <c r="N62">
        <v>42.88</v>
      </c>
      <c r="P62">
        <v>0</v>
      </c>
      <c r="Q62">
        <v>0</v>
      </c>
    </row>
    <row r="63" spans="1:17" x14ac:dyDescent="0.35">
      <c r="A63" t="s">
        <v>30</v>
      </c>
      <c r="B63" t="s">
        <v>108</v>
      </c>
      <c r="C63">
        <v>3</v>
      </c>
      <c r="D63">
        <v>2.84</v>
      </c>
      <c r="E63" t="s">
        <v>61</v>
      </c>
      <c r="F63" t="s">
        <v>14</v>
      </c>
      <c r="G63" t="s">
        <v>15</v>
      </c>
      <c r="H63" t="s">
        <v>41</v>
      </c>
      <c r="I63" t="s">
        <v>49</v>
      </c>
      <c r="K63">
        <v>44.87</v>
      </c>
      <c r="L63" t="s">
        <v>212</v>
      </c>
      <c r="N63">
        <v>44.87</v>
      </c>
      <c r="P63">
        <v>0</v>
      </c>
      <c r="Q63">
        <v>0</v>
      </c>
    </row>
    <row r="64" spans="1:17" x14ac:dyDescent="0.35">
      <c r="A64" t="s">
        <v>30</v>
      </c>
      <c r="B64" t="s">
        <v>193</v>
      </c>
      <c r="C64">
        <v>1</v>
      </c>
      <c r="D64">
        <v>0.73</v>
      </c>
      <c r="E64" t="s">
        <v>37</v>
      </c>
      <c r="F64" t="s">
        <v>14</v>
      </c>
      <c r="G64" t="s">
        <v>15</v>
      </c>
      <c r="H64" t="s">
        <v>41</v>
      </c>
      <c r="I64" t="s">
        <v>154</v>
      </c>
      <c r="J64" t="s">
        <v>155</v>
      </c>
      <c r="K64">
        <v>45.63</v>
      </c>
      <c r="L64" t="s">
        <v>215</v>
      </c>
      <c r="M64">
        <v>45.63</v>
      </c>
      <c r="P64">
        <v>1</v>
      </c>
      <c r="Q64">
        <v>0</v>
      </c>
    </row>
    <row r="65" spans="1:17" x14ac:dyDescent="0.35">
      <c r="A65" t="s">
        <v>18</v>
      </c>
      <c r="B65" t="s">
        <v>109</v>
      </c>
      <c r="C65">
        <v>1</v>
      </c>
      <c r="D65">
        <v>2.5099999999999998</v>
      </c>
      <c r="E65" t="s">
        <v>56</v>
      </c>
      <c r="F65" t="s">
        <v>14</v>
      </c>
      <c r="G65" t="s">
        <v>24</v>
      </c>
      <c r="H65" t="s">
        <v>28</v>
      </c>
      <c r="I65" t="s">
        <v>38</v>
      </c>
      <c r="K65">
        <v>21.8</v>
      </c>
      <c r="L65" t="s">
        <v>212</v>
      </c>
      <c r="M65">
        <v>21.8</v>
      </c>
      <c r="P65">
        <v>0</v>
      </c>
      <c r="Q65">
        <v>0</v>
      </c>
    </row>
    <row r="66" spans="1:17" x14ac:dyDescent="0.35">
      <c r="A66" t="s">
        <v>18</v>
      </c>
      <c r="B66" t="s">
        <v>111</v>
      </c>
      <c r="C66">
        <v>3</v>
      </c>
      <c r="D66">
        <v>4.18</v>
      </c>
      <c r="E66" t="s">
        <v>13</v>
      </c>
      <c r="F66" t="s">
        <v>14</v>
      </c>
      <c r="G66" t="s">
        <v>24</v>
      </c>
      <c r="H66" t="s">
        <v>28</v>
      </c>
      <c r="I66" t="s">
        <v>29</v>
      </c>
      <c r="K66">
        <v>23.62</v>
      </c>
      <c r="L66" t="s">
        <v>212</v>
      </c>
      <c r="N66">
        <v>23.62</v>
      </c>
      <c r="P66">
        <v>0</v>
      </c>
      <c r="Q66">
        <v>0</v>
      </c>
    </row>
    <row r="67" spans="1:17" x14ac:dyDescent="0.35">
      <c r="A67" t="s">
        <v>18</v>
      </c>
      <c r="B67" t="s">
        <v>112</v>
      </c>
      <c r="C67">
        <v>3</v>
      </c>
      <c r="D67">
        <v>2.38</v>
      </c>
      <c r="E67" t="s">
        <v>32</v>
      </c>
      <c r="F67" t="s">
        <v>14</v>
      </c>
      <c r="G67" t="s">
        <v>15</v>
      </c>
      <c r="H67" t="s">
        <v>28</v>
      </c>
      <c r="I67" t="s">
        <v>45</v>
      </c>
      <c r="K67">
        <v>27.97</v>
      </c>
      <c r="L67" t="s">
        <v>212</v>
      </c>
      <c r="N67">
        <v>27.97</v>
      </c>
      <c r="P67">
        <v>0</v>
      </c>
      <c r="Q67">
        <v>0</v>
      </c>
    </row>
    <row r="68" spans="1:17" x14ac:dyDescent="0.35">
      <c r="A68" t="s">
        <v>18</v>
      </c>
      <c r="B68" t="s">
        <v>113</v>
      </c>
      <c r="C68">
        <v>1</v>
      </c>
      <c r="D68">
        <v>0.44</v>
      </c>
      <c r="E68" t="s">
        <v>74</v>
      </c>
      <c r="F68" t="s">
        <v>14</v>
      </c>
      <c r="G68" t="s">
        <v>15</v>
      </c>
      <c r="H68" t="s">
        <v>41</v>
      </c>
      <c r="I68" t="s">
        <v>29</v>
      </c>
      <c r="K68">
        <v>3.78</v>
      </c>
      <c r="L68" t="s">
        <v>212</v>
      </c>
      <c r="M68">
        <v>3.78</v>
      </c>
      <c r="P68">
        <v>0</v>
      </c>
      <c r="Q68">
        <v>0</v>
      </c>
    </row>
    <row r="69" spans="1:17" x14ac:dyDescent="0.35">
      <c r="A69" t="s">
        <v>18</v>
      </c>
      <c r="B69" t="s">
        <v>114</v>
      </c>
      <c r="C69">
        <v>1</v>
      </c>
      <c r="D69">
        <v>1.36</v>
      </c>
      <c r="E69" t="s">
        <v>23</v>
      </c>
      <c r="F69" t="s">
        <v>14</v>
      </c>
      <c r="G69" t="s">
        <v>24</v>
      </c>
      <c r="H69" t="s">
        <v>16</v>
      </c>
      <c r="I69" t="s">
        <v>38</v>
      </c>
      <c r="K69">
        <v>31.41</v>
      </c>
      <c r="L69" t="s">
        <v>212</v>
      </c>
      <c r="M69">
        <v>31.41</v>
      </c>
      <c r="P69">
        <v>0</v>
      </c>
      <c r="Q69">
        <v>0</v>
      </c>
    </row>
    <row r="70" spans="1:17" x14ac:dyDescent="0.35">
      <c r="A70" t="s">
        <v>30</v>
      </c>
      <c r="B70" t="s">
        <v>115</v>
      </c>
      <c r="C70">
        <v>3</v>
      </c>
      <c r="D70">
        <v>3.62</v>
      </c>
      <c r="E70" t="s">
        <v>56</v>
      </c>
      <c r="F70" t="s">
        <v>14</v>
      </c>
      <c r="G70" t="s">
        <v>24</v>
      </c>
      <c r="H70" t="s">
        <v>28</v>
      </c>
      <c r="I70" t="s">
        <v>29</v>
      </c>
      <c r="K70">
        <v>11.24</v>
      </c>
      <c r="L70" t="s">
        <v>212</v>
      </c>
      <c r="N70">
        <v>11.24</v>
      </c>
      <c r="P70">
        <v>0</v>
      </c>
      <c r="Q70">
        <v>0</v>
      </c>
    </row>
    <row r="71" spans="1:17" x14ac:dyDescent="0.35">
      <c r="A71" t="s">
        <v>25</v>
      </c>
      <c r="B71" t="s">
        <v>195</v>
      </c>
      <c r="C71">
        <v>3</v>
      </c>
      <c r="D71">
        <v>2.69</v>
      </c>
      <c r="E71" t="s">
        <v>40</v>
      </c>
      <c r="F71" t="s">
        <v>14</v>
      </c>
      <c r="G71" t="s">
        <v>15</v>
      </c>
      <c r="H71" t="s">
        <v>28</v>
      </c>
      <c r="I71" t="s">
        <v>157</v>
      </c>
      <c r="J71" t="s">
        <v>158</v>
      </c>
      <c r="K71">
        <v>87.58</v>
      </c>
      <c r="L71" t="s">
        <v>213</v>
      </c>
      <c r="N71">
        <v>87.58</v>
      </c>
      <c r="P71">
        <v>1</v>
      </c>
      <c r="Q71">
        <v>0</v>
      </c>
    </row>
    <row r="72" spans="1:17" x14ac:dyDescent="0.35">
      <c r="A72" t="s">
        <v>30</v>
      </c>
      <c r="B72" t="s">
        <v>116</v>
      </c>
      <c r="C72">
        <v>1</v>
      </c>
      <c r="D72">
        <v>1.63</v>
      </c>
      <c r="E72" t="s">
        <v>44</v>
      </c>
      <c r="F72" t="s">
        <v>14</v>
      </c>
      <c r="G72" t="s">
        <v>24</v>
      </c>
      <c r="H72" t="s">
        <v>16</v>
      </c>
      <c r="I72" t="s">
        <v>92</v>
      </c>
      <c r="K72">
        <v>22.67</v>
      </c>
      <c r="L72" t="s">
        <v>212</v>
      </c>
      <c r="M72">
        <v>22.67</v>
      </c>
      <c r="P72">
        <v>0</v>
      </c>
      <c r="Q72">
        <v>0</v>
      </c>
    </row>
    <row r="73" spans="1:17" x14ac:dyDescent="0.35">
      <c r="A73" t="s">
        <v>18</v>
      </c>
      <c r="B73" t="s">
        <v>196</v>
      </c>
      <c r="C73">
        <v>3</v>
      </c>
      <c r="D73">
        <v>4.59</v>
      </c>
      <c r="E73" t="s">
        <v>35</v>
      </c>
      <c r="F73" t="s">
        <v>14</v>
      </c>
      <c r="G73" t="s">
        <v>24</v>
      </c>
      <c r="H73" t="s">
        <v>41</v>
      </c>
      <c r="I73" t="s">
        <v>216</v>
      </c>
      <c r="J73" t="s">
        <v>152</v>
      </c>
      <c r="K73">
        <v>177.31</v>
      </c>
      <c r="L73" t="s">
        <v>214</v>
      </c>
      <c r="N73">
        <v>177.31</v>
      </c>
      <c r="P73">
        <v>1</v>
      </c>
      <c r="Q73">
        <v>0</v>
      </c>
    </row>
    <row r="74" spans="1:17" x14ac:dyDescent="0.35">
      <c r="A74" t="s">
        <v>18</v>
      </c>
      <c r="B74" t="s">
        <v>197</v>
      </c>
      <c r="C74">
        <v>1</v>
      </c>
      <c r="D74">
        <v>0.89</v>
      </c>
      <c r="E74" t="s">
        <v>37</v>
      </c>
      <c r="F74" t="s">
        <v>14</v>
      </c>
      <c r="G74" t="s">
        <v>24</v>
      </c>
      <c r="H74" t="s">
        <v>16</v>
      </c>
      <c r="I74" t="s">
        <v>157</v>
      </c>
      <c r="J74" t="s">
        <v>158</v>
      </c>
      <c r="K74">
        <v>53.96</v>
      </c>
      <c r="L74" t="s">
        <v>213</v>
      </c>
      <c r="M74">
        <v>53.96</v>
      </c>
      <c r="P74">
        <v>1</v>
      </c>
      <c r="Q74">
        <v>0</v>
      </c>
    </row>
    <row r="75" spans="1:17" x14ac:dyDescent="0.35">
      <c r="A75" t="s">
        <v>18</v>
      </c>
      <c r="B75" t="s">
        <v>118</v>
      </c>
      <c r="C75">
        <v>1</v>
      </c>
      <c r="D75">
        <v>3.7</v>
      </c>
      <c r="E75" t="s">
        <v>56</v>
      </c>
      <c r="F75" t="s">
        <v>14</v>
      </c>
      <c r="G75" t="s">
        <v>15</v>
      </c>
      <c r="H75" t="s">
        <v>16</v>
      </c>
      <c r="I75" t="s">
        <v>45</v>
      </c>
      <c r="K75">
        <v>22.3</v>
      </c>
      <c r="L75" t="s">
        <v>212</v>
      </c>
      <c r="M75">
        <v>22.3</v>
      </c>
      <c r="P75">
        <v>0</v>
      </c>
      <c r="Q75">
        <v>0</v>
      </c>
    </row>
    <row r="76" spans="1:17" x14ac:dyDescent="0.35">
      <c r="A76" t="s">
        <v>18</v>
      </c>
      <c r="B76" t="s">
        <v>119</v>
      </c>
      <c r="C76">
        <v>3</v>
      </c>
      <c r="D76">
        <v>0.68</v>
      </c>
      <c r="E76" t="s">
        <v>64</v>
      </c>
      <c r="F76" t="s">
        <v>14</v>
      </c>
      <c r="G76" t="s">
        <v>24</v>
      </c>
      <c r="H76" t="s">
        <v>28</v>
      </c>
      <c r="I76" t="s">
        <v>92</v>
      </c>
      <c r="K76">
        <v>52.73</v>
      </c>
      <c r="L76" t="s">
        <v>212</v>
      </c>
      <c r="N76">
        <v>52.73</v>
      </c>
      <c r="P76">
        <v>0</v>
      </c>
      <c r="Q76">
        <v>0</v>
      </c>
    </row>
    <row r="77" spans="1:17" x14ac:dyDescent="0.35">
      <c r="A77" t="s">
        <v>11</v>
      </c>
      <c r="B77" t="s">
        <v>120</v>
      </c>
      <c r="C77">
        <v>3</v>
      </c>
      <c r="D77">
        <v>0.62</v>
      </c>
      <c r="E77" t="s">
        <v>44</v>
      </c>
      <c r="F77" t="s">
        <v>14</v>
      </c>
      <c r="G77" t="s">
        <v>15</v>
      </c>
      <c r="H77" t="s">
        <v>41</v>
      </c>
      <c r="I77" t="s">
        <v>42</v>
      </c>
      <c r="K77">
        <v>46.34</v>
      </c>
      <c r="L77" t="s">
        <v>212</v>
      </c>
      <c r="N77">
        <v>46.34</v>
      </c>
      <c r="P77">
        <v>0</v>
      </c>
      <c r="Q77">
        <v>0</v>
      </c>
    </row>
    <row r="78" spans="1:17" x14ac:dyDescent="0.35">
      <c r="A78" t="s">
        <v>11</v>
      </c>
      <c r="B78" t="s">
        <v>198</v>
      </c>
      <c r="C78">
        <v>3</v>
      </c>
      <c r="D78">
        <v>4.3899999999999997</v>
      </c>
      <c r="E78" t="s">
        <v>74</v>
      </c>
      <c r="F78" t="s">
        <v>14</v>
      </c>
      <c r="G78" t="s">
        <v>15</v>
      </c>
      <c r="H78" t="s">
        <v>28</v>
      </c>
      <c r="I78" t="s">
        <v>178</v>
      </c>
      <c r="J78" t="s">
        <v>179</v>
      </c>
      <c r="K78">
        <v>72.510000000000005</v>
      </c>
      <c r="L78" t="s">
        <v>213</v>
      </c>
      <c r="N78">
        <v>72.510000000000005</v>
      </c>
      <c r="P78">
        <v>1</v>
      </c>
      <c r="Q78">
        <v>0</v>
      </c>
    </row>
    <row r="79" spans="1:17" x14ac:dyDescent="0.35">
      <c r="A79" t="s">
        <v>30</v>
      </c>
      <c r="B79" t="s">
        <v>199</v>
      </c>
      <c r="C79">
        <v>3</v>
      </c>
      <c r="D79">
        <v>1.71</v>
      </c>
      <c r="E79" t="s">
        <v>56</v>
      </c>
      <c r="F79" t="s">
        <v>14</v>
      </c>
      <c r="G79" t="s">
        <v>24</v>
      </c>
      <c r="H79" t="s">
        <v>28</v>
      </c>
      <c r="I79" t="s">
        <v>178</v>
      </c>
      <c r="J79" t="s">
        <v>179</v>
      </c>
      <c r="K79">
        <v>179.91</v>
      </c>
      <c r="L79" t="s">
        <v>213</v>
      </c>
      <c r="N79">
        <v>179.91</v>
      </c>
      <c r="P79">
        <v>1</v>
      </c>
      <c r="Q79">
        <v>0</v>
      </c>
    </row>
    <row r="80" spans="1:17" x14ac:dyDescent="0.35">
      <c r="A80" t="s">
        <v>18</v>
      </c>
      <c r="B80" t="s">
        <v>124</v>
      </c>
      <c r="C80">
        <v>1</v>
      </c>
      <c r="D80">
        <v>1.41</v>
      </c>
      <c r="E80" t="s">
        <v>37</v>
      </c>
      <c r="F80" t="s">
        <v>14</v>
      </c>
      <c r="G80" t="s">
        <v>24</v>
      </c>
      <c r="H80" t="s">
        <v>41</v>
      </c>
      <c r="I80" t="s">
        <v>45</v>
      </c>
      <c r="K80">
        <v>4.25</v>
      </c>
      <c r="L80" t="s">
        <v>212</v>
      </c>
      <c r="M80">
        <v>4.25</v>
      </c>
      <c r="P80">
        <v>0</v>
      </c>
      <c r="Q80">
        <v>0</v>
      </c>
    </row>
    <row r="81" spans="1:17" x14ac:dyDescent="0.35">
      <c r="A81" t="s">
        <v>30</v>
      </c>
      <c r="B81" t="s">
        <v>201</v>
      </c>
      <c r="C81">
        <v>1</v>
      </c>
      <c r="D81">
        <v>3.29</v>
      </c>
      <c r="E81" t="s">
        <v>74</v>
      </c>
      <c r="F81" t="s">
        <v>14</v>
      </c>
      <c r="G81" t="s">
        <v>24</v>
      </c>
      <c r="H81" t="s">
        <v>41</v>
      </c>
      <c r="I81" t="s">
        <v>151</v>
      </c>
      <c r="J81" t="s">
        <v>152</v>
      </c>
      <c r="K81">
        <v>135.32</v>
      </c>
      <c r="L81" t="s">
        <v>214</v>
      </c>
      <c r="M81">
        <v>135.32</v>
      </c>
      <c r="P81">
        <v>1</v>
      </c>
      <c r="Q81">
        <v>0</v>
      </c>
    </row>
    <row r="82" spans="1:17" x14ac:dyDescent="0.35">
      <c r="A82" t="s">
        <v>25</v>
      </c>
      <c r="B82" t="s">
        <v>125</v>
      </c>
      <c r="C82">
        <v>3</v>
      </c>
      <c r="D82">
        <v>0.76</v>
      </c>
      <c r="E82" t="s">
        <v>32</v>
      </c>
      <c r="F82" t="s">
        <v>14</v>
      </c>
      <c r="G82" t="s">
        <v>24</v>
      </c>
      <c r="H82" t="s">
        <v>28</v>
      </c>
      <c r="I82" t="s">
        <v>21</v>
      </c>
      <c r="K82">
        <v>44.74</v>
      </c>
      <c r="L82" t="s">
        <v>212</v>
      </c>
      <c r="N82">
        <v>44.74</v>
      </c>
      <c r="P82">
        <v>0</v>
      </c>
      <c r="Q82">
        <v>0</v>
      </c>
    </row>
    <row r="83" spans="1:17" x14ac:dyDescent="0.35">
      <c r="A83" t="s">
        <v>30</v>
      </c>
      <c r="B83" t="s">
        <v>202</v>
      </c>
      <c r="C83">
        <v>3</v>
      </c>
      <c r="D83">
        <v>2.66</v>
      </c>
      <c r="E83" t="s">
        <v>20</v>
      </c>
      <c r="F83" t="s">
        <v>14</v>
      </c>
      <c r="G83" t="s">
        <v>15</v>
      </c>
      <c r="H83" t="s">
        <v>28</v>
      </c>
      <c r="I83" t="s">
        <v>157</v>
      </c>
      <c r="J83" t="s">
        <v>158</v>
      </c>
      <c r="K83">
        <v>175.43</v>
      </c>
      <c r="L83" t="s">
        <v>213</v>
      </c>
      <c r="N83">
        <v>175.43</v>
      </c>
      <c r="P83">
        <v>1</v>
      </c>
      <c r="Q83">
        <v>0</v>
      </c>
    </row>
    <row r="84" spans="1:17" x14ac:dyDescent="0.35">
      <c r="A84" t="s">
        <v>30</v>
      </c>
      <c r="B84" t="s">
        <v>127</v>
      </c>
      <c r="C84">
        <v>3</v>
      </c>
      <c r="D84">
        <v>4.3899999999999997</v>
      </c>
      <c r="E84" t="s">
        <v>23</v>
      </c>
      <c r="F84" t="s">
        <v>14</v>
      </c>
      <c r="G84" t="s">
        <v>24</v>
      </c>
      <c r="H84" t="s">
        <v>16</v>
      </c>
      <c r="I84" t="s">
        <v>33</v>
      </c>
      <c r="K84">
        <v>52.03</v>
      </c>
      <c r="L84" t="s">
        <v>212</v>
      </c>
      <c r="N84">
        <v>52.03</v>
      </c>
      <c r="P84">
        <v>0</v>
      </c>
      <c r="Q84">
        <v>0</v>
      </c>
    </row>
    <row r="85" spans="1:17" x14ac:dyDescent="0.35">
      <c r="A85" t="s">
        <v>18</v>
      </c>
      <c r="B85" t="s">
        <v>128</v>
      </c>
      <c r="C85">
        <v>3</v>
      </c>
      <c r="D85">
        <v>2.02</v>
      </c>
      <c r="E85" t="s">
        <v>35</v>
      </c>
      <c r="F85" t="s">
        <v>14</v>
      </c>
      <c r="G85" t="s">
        <v>15</v>
      </c>
      <c r="H85" t="s">
        <v>28</v>
      </c>
      <c r="I85" t="s">
        <v>92</v>
      </c>
      <c r="K85">
        <v>24.01</v>
      </c>
      <c r="L85" t="s">
        <v>212</v>
      </c>
      <c r="N85">
        <v>24.01</v>
      </c>
      <c r="P85">
        <v>0</v>
      </c>
      <c r="Q85">
        <v>0</v>
      </c>
    </row>
    <row r="86" spans="1:17" x14ac:dyDescent="0.35">
      <c r="A86" t="s">
        <v>30</v>
      </c>
      <c r="B86" t="s">
        <v>129</v>
      </c>
      <c r="C86">
        <v>3</v>
      </c>
      <c r="D86">
        <v>2.09</v>
      </c>
      <c r="E86" t="s">
        <v>51</v>
      </c>
      <c r="F86" t="s">
        <v>14</v>
      </c>
      <c r="G86" t="s">
        <v>15</v>
      </c>
      <c r="H86" t="s">
        <v>41</v>
      </c>
      <c r="I86" t="s">
        <v>17</v>
      </c>
      <c r="K86">
        <v>38.31</v>
      </c>
      <c r="L86" t="s">
        <v>212</v>
      </c>
      <c r="N86">
        <v>38.31</v>
      </c>
      <c r="P86">
        <v>0</v>
      </c>
      <c r="Q86">
        <v>0</v>
      </c>
    </row>
    <row r="87" spans="1:17" x14ac:dyDescent="0.35">
      <c r="A87" t="s">
        <v>30</v>
      </c>
      <c r="B87" t="s">
        <v>130</v>
      </c>
      <c r="C87">
        <v>3</v>
      </c>
      <c r="D87">
        <v>1.34</v>
      </c>
      <c r="E87" t="s">
        <v>70</v>
      </c>
      <c r="F87" t="s">
        <v>14</v>
      </c>
      <c r="G87" t="s">
        <v>24</v>
      </c>
      <c r="H87" t="s">
        <v>41</v>
      </c>
      <c r="I87" t="s">
        <v>49</v>
      </c>
      <c r="K87">
        <v>9.65</v>
      </c>
      <c r="L87" t="s">
        <v>212</v>
      </c>
      <c r="N87">
        <v>9.65</v>
      </c>
      <c r="P87">
        <v>0</v>
      </c>
      <c r="Q87">
        <v>0</v>
      </c>
    </row>
    <row r="88" spans="1:17" x14ac:dyDescent="0.35">
      <c r="A88" t="s">
        <v>11</v>
      </c>
      <c r="B88" t="s">
        <v>131</v>
      </c>
      <c r="C88">
        <v>1</v>
      </c>
      <c r="D88">
        <v>1.73</v>
      </c>
      <c r="E88" t="s">
        <v>77</v>
      </c>
      <c r="F88" t="s">
        <v>14</v>
      </c>
      <c r="G88" t="s">
        <v>15</v>
      </c>
      <c r="H88" t="s">
        <v>16</v>
      </c>
      <c r="I88" t="s">
        <v>29</v>
      </c>
      <c r="K88">
        <v>10.73</v>
      </c>
      <c r="L88" t="s">
        <v>212</v>
      </c>
      <c r="M88">
        <v>10.73</v>
      </c>
      <c r="P88">
        <v>0</v>
      </c>
      <c r="Q88">
        <v>0</v>
      </c>
    </row>
    <row r="89" spans="1:17" x14ac:dyDescent="0.35">
      <c r="A89" t="s">
        <v>18</v>
      </c>
      <c r="B89" t="s">
        <v>204</v>
      </c>
      <c r="C89">
        <v>1</v>
      </c>
      <c r="D89">
        <v>3.42</v>
      </c>
      <c r="E89" t="s">
        <v>74</v>
      </c>
      <c r="F89" t="s">
        <v>14</v>
      </c>
      <c r="G89" t="s">
        <v>15</v>
      </c>
      <c r="H89" t="s">
        <v>16</v>
      </c>
      <c r="I89" t="s">
        <v>178</v>
      </c>
      <c r="J89" t="s">
        <v>179</v>
      </c>
      <c r="K89">
        <v>178.43</v>
      </c>
      <c r="L89" t="s">
        <v>213</v>
      </c>
      <c r="M89">
        <v>178.43</v>
      </c>
      <c r="P89">
        <v>1</v>
      </c>
      <c r="Q89">
        <v>0</v>
      </c>
    </row>
    <row r="90" spans="1:17" x14ac:dyDescent="0.35">
      <c r="A90" t="s">
        <v>25</v>
      </c>
      <c r="B90" t="s">
        <v>134</v>
      </c>
      <c r="C90">
        <v>1</v>
      </c>
      <c r="D90">
        <v>4.2</v>
      </c>
      <c r="E90" t="s">
        <v>48</v>
      </c>
      <c r="F90" t="s">
        <v>14</v>
      </c>
      <c r="G90" t="s">
        <v>15</v>
      </c>
      <c r="H90" t="s">
        <v>41</v>
      </c>
      <c r="I90" t="s">
        <v>33</v>
      </c>
      <c r="K90">
        <v>21.73</v>
      </c>
      <c r="L90" t="s">
        <v>212</v>
      </c>
      <c r="M90">
        <v>21.73</v>
      </c>
      <c r="P90">
        <v>0</v>
      </c>
      <c r="Q90">
        <v>0</v>
      </c>
    </row>
    <row r="91" spans="1:17" x14ac:dyDescent="0.35">
      <c r="A91" t="s">
        <v>25</v>
      </c>
      <c r="B91" t="s">
        <v>135</v>
      </c>
      <c r="C91">
        <v>3</v>
      </c>
      <c r="D91">
        <v>0.31</v>
      </c>
      <c r="E91" t="s">
        <v>40</v>
      </c>
      <c r="F91" t="s">
        <v>14</v>
      </c>
      <c r="G91" t="s">
        <v>15</v>
      </c>
      <c r="H91" t="s">
        <v>41</v>
      </c>
      <c r="I91" t="s">
        <v>38</v>
      </c>
      <c r="K91">
        <v>9.27</v>
      </c>
      <c r="L91" t="s">
        <v>212</v>
      </c>
      <c r="N91">
        <v>9.27</v>
      </c>
      <c r="P91">
        <v>0</v>
      </c>
      <c r="Q91">
        <v>0</v>
      </c>
    </row>
    <row r="92" spans="1:17" x14ac:dyDescent="0.35">
      <c r="A92" t="s">
        <v>11</v>
      </c>
      <c r="B92" t="s">
        <v>136</v>
      </c>
      <c r="C92">
        <v>1</v>
      </c>
      <c r="D92">
        <v>0.37</v>
      </c>
      <c r="E92" t="s">
        <v>53</v>
      </c>
      <c r="F92" t="s">
        <v>14</v>
      </c>
      <c r="G92" t="s">
        <v>24</v>
      </c>
      <c r="H92" t="s">
        <v>16</v>
      </c>
      <c r="I92" t="s">
        <v>17</v>
      </c>
      <c r="K92">
        <v>10.23</v>
      </c>
      <c r="L92" t="s">
        <v>212</v>
      </c>
      <c r="M92">
        <v>10.23</v>
      </c>
      <c r="P92">
        <v>0</v>
      </c>
      <c r="Q92">
        <v>0</v>
      </c>
    </row>
    <row r="93" spans="1:17" x14ac:dyDescent="0.35">
      <c r="A93" t="s">
        <v>18</v>
      </c>
      <c r="B93" t="s">
        <v>205</v>
      </c>
      <c r="C93">
        <v>3</v>
      </c>
      <c r="D93">
        <v>0.83</v>
      </c>
      <c r="E93" t="s">
        <v>70</v>
      </c>
      <c r="F93" t="s">
        <v>14</v>
      </c>
      <c r="G93" t="s">
        <v>24</v>
      </c>
      <c r="H93" t="s">
        <v>28</v>
      </c>
      <c r="I93" t="s">
        <v>154</v>
      </c>
      <c r="J93" t="s">
        <v>155</v>
      </c>
      <c r="K93">
        <v>123.11</v>
      </c>
      <c r="L93" t="s">
        <v>215</v>
      </c>
      <c r="N93">
        <v>123.11</v>
      </c>
      <c r="P93">
        <v>1</v>
      </c>
      <c r="Q93">
        <v>0</v>
      </c>
    </row>
    <row r="94" spans="1:17" x14ac:dyDescent="0.35">
      <c r="A94" t="s">
        <v>18</v>
      </c>
      <c r="B94" t="s">
        <v>206</v>
      </c>
      <c r="C94">
        <v>3</v>
      </c>
      <c r="D94">
        <v>1.34</v>
      </c>
      <c r="E94" t="s">
        <v>74</v>
      </c>
      <c r="F94" t="s">
        <v>14</v>
      </c>
      <c r="G94" t="s">
        <v>15</v>
      </c>
      <c r="H94" t="s">
        <v>41</v>
      </c>
      <c r="I94" t="s">
        <v>151</v>
      </c>
      <c r="J94" t="s">
        <v>152</v>
      </c>
      <c r="K94">
        <v>113</v>
      </c>
      <c r="L94" t="s">
        <v>214</v>
      </c>
      <c r="N94">
        <v>113</v>
      </c>
      <c r="P94">
        <v>1</v>
      </c>
      <c r="Q94">
        <v>0</v>
      </c>
    </row>
    <row r="95" spans="1:17" x14ac:dyDescent="0.35">
      <c r="A95" t="s">
        <v>18</v>
      </c>
      <c r="B95" t="s">
        <v>137</v>
      </c>
      <c r="C95">
        <v>3</v>
      </c>
      <c r="D95">
        <v>4.83</v>
      </c>
      <c r="E95" t="s">
        <v>32</v>
      </c>
      <c r="F95" t="s">
        <v>14</v>
      </c>
      <c r="G95" t="s">
        <v>24</v>
      </c>
      <c r="H95" t="s">
        <v>28</v>
      </c>
      <c r="I95" t="s">
        <v>42</v>
      </c>
      <c r="K95">
        <v>30.95</v>
      </c>
      <c r="L95" t="s">
        <v>212</v>
      </c>
      <c r="N95">
        <v>30.95</v>
      </c>
      <c r="P95">
        <v>0</v>
      </c>
      <c r="Q95">
        <v>0</v>
      </c>
    </row>
    <row r="96" spans="1:17" x14ac:dyDescent="0.35">
      <c r="A96" t="s">
        <v>18</v>
      </c>
      <c r="B96" t="s">
        <v>138</v>
      </c>
      <c r="C96">
        <v>1</v>
      </c>
      <c r="D96">
        <v>4.53</v>
      </c>
      <c r="E96" t="s">
        <v>64</v>
      </c>
      <c r="F96" t="s">
        <v>14</v>
      </c>
      <c r="G96" t="s">
        <v>15</v>
      </c>
      <c r="H96" t="s">
        <v>16</v>
      </c>
      <c r="I96" t="s">
        <v>29</v>
      </c>
      <c r="K96">
        <v>43.59</v>
      </c>
      <c r="L96" t="s">
        <v>212</v>
      </c>
      <c r="M96">
        <v>43.59</v>
      </c>
      <c r="P96">
        <v>0</v>
      </c>
      <c r="Q96">
        <v>0</v>
      </c>
    </row>
    <row r="97" spans="1:17" x14ac:dyDescent="0.35">
      <c r="A97" t="s">
        <v>18</v>
      </c>
      <c r="B97" t="s">
        <v>207</v>
      </c>
      <c r="C97">
        <v>3</v>
      </c>
      <c r="D97">
        <v>2.79</v>
      </c>
      <c r="E97" t="s">
        <v>61</v>
      </c>
      <c r="F97" t="s">
        <v>14</v>
      </c>
      <c r="G97" t="s">
        <v>24</v>
      </c>
      <c r="H97" t="s">
        <v>16</v>
      </c>
      <c r="I97" t="s">
        <v>166</v>
      </c>
      <c r="J97" t="s">
        <v>167</v>
      </c>
      <c r="K97">
        <v>159.38999999999999</v>
      </c>
      <c r="L97" t="s">
        <v>213</v>
      </c>
      <c r="N97">
        <v>159.38999999999999</v>
      </c>
      <c r="P97">
        <v>1</v>
      </c>
      <c r="Q97">
        <v>0</v>
      </c>
    </row>
    <row r="98" spans="1:17" x14ac:dyDescent="0.35">
      <c r="A98" t="s">
        <v>11</v>
      </c>
      <c r="B98" t="s">
        <v>140</v>
      </c>
      <c r="C98">
        <v>1</v>
      </c>
      <c r="D98">
        <v>2.33</v>
      </c>
      <c r="E98" t="s">
        <v>51</v>
      </c>
      <c r="F98" t="s">
        <v>14</v>
      </c>
      <c r="G98" t="s">
        <v>15</v>
      </c>
      <c r="H98" t="s">
        <v>41</v>
      </c>
      <c r="I98" t="s">
        <v>29</v>
      </c>
      <c r="K98">
        <v>35.020000000000003</v>
      </c>
      <c r="L98" t="s">
        <v>212</v>
      </c>
      <c r="M98">
        <v>35.020000000000003</v>
      </c>
      <c r="P98">
        <v>0</v>
      </c>
      <c r="Q98">
        <v>0</v>
      </c>
    </row>
    <row r="99" spans="1:17" x14ac:dyDescent="0.35">
      <c r="A99" t="s">
        <v>25</v>
      </c>
      <c r="B99" t="s">
        <v>209</v>
      </c>
      <c r="C99">
        <v>1</v>
      </c>
      <c r="D99">
        <v>3.39</v>
      </c>
      <c r="E99" t="s">
        <v>53</v>
      </c>
      <c r="F99" t="s">
        <v>14</v>
      </c>
      <c r="G99" t="s">
        <v>15</v>
      </c>
      <c r="H99" t="s">
        <v>28</v>
      </c>
      <c r="I99" t="s">
        <v>162</v>
      </c>
      <c r="J99" t="s">
        <v>163</v>
      </c>
      <c r="K99">
        <v>56.08</v>
      </c>
      <c r="L99" t="s">
        <v>213</v>
      </c>
      <c r="M99">
        <v>56.08</v>
      </c>
      <c r="P99">
        <v>1</v>
      </c>
      <c r="Q99">
        <v>0</v>
      </c>
    </row>
    <row r="100" spans="1:17" x14ac:dyDescent="0.35">
      <c r="A100" t="s">
        <v>30</v>
      </c>
      <c r="B100" t="s">
        <v>210</v>
      </c>
      <c r="C100">
        <v>3</v>
      </c>
      <c r="D100">
        <v>1.36</v>
      </c>
      <c r="E100" t="s">
        <v>56</v>
      </c>
      <c r="F100" t="s">
        <v>14</v>
      </c>
      <c r="G100" t="s">
        <v>15</v>
      </c>
      <c r="H100" t="s">
        <v>41</v>
      </c>
      <c r="I100" t="s">
        <v>216</v>
      </c>
      <c r="J100" t="s">
        <v>152</v>
      </c>
      <c r="K100">
        <v>77.44</v>
      </c>
      <c r="L100" t="s">
        <v>214</v>
      </c>
      <c r="N100">
        <v>77.44</v>
      </c>
      <c r="P100">
        <v>1</v>
      </c>
      <c r="Q100">
        <v>0</v>
      </c>
    </row>
    <row r="101" spans="1:17" x14ac:dyDescent="0.35">
      <c r="A101" t="s">
        <v>18</v>
      </c>
      <c r="B101" t="s">
        <v>143</v>
      </c>
      <c r="C101">
        <v>1</v>
      </c>
      <c r="D101">
        <v>0.97</v>
      </c>
      <c r="E101" t="s">
        <v>13</v>
      </c>
      <c r="F101" t="s">
        <v>14</v>
      </c>
      <c r="G101" t="s">
        <v>15</v>
      </c>
      <c r="H101" t="s">
        <v>41</v>
      </c>
      <c r="I101" t="s">
        <v>49</v>
      </c>
      <c r="K101">
        <v>26.93</v>
      </c>
      <c r="L101" t="s">
        <v>212</v>
      </c>
      <c r="M101">
        <v>26.93</v>
      </c>
      <c r="P101">
        <v>0</v>
      </c>
      <c r="Q101">
        <v>0</v>
      </c>
    </row>
    <row r="102" spans="1:17" x14ac:dyDescent="0.35">
      <c r="A102" t="s">
        <v>30</v>
      </c>
      <c r="B102" t="s">
        <v>144</v>
      </c>
      <c r="C102">
        <v>1</v>
      </c>
      <c r="D102">
        <v>2.04</v>
      </c>
      <c r="E102" t="s">
        <v>64</v>
      </c>
      <c r="F102" t="s">
        <v>14</v>
      </c>
      <c r="G102" t="s">
        <v>15</v>
      </c>
      <c r="H102" t="s">
        <v>16</v>
      </c>
      <c r="I102" t="s">
        <v>17</v>
      </c>
      <c r="K102">
        <v>41.42</v>
      </c>
      <c r="L102" t="s">
        <v>212</v>
      </c>
      <c r="M102">
        <v>41.42</v>
      </c>
      <c r="P102">
        <v>0</v>
      </c>
      <c r="Q102">
        <v>0</v>
      </c>
    </row>
    <row r="103" spans="1:17" x14ac:dyDescent="0.35">
      <c r="A103" t="s">
        <v>18</v>
      </c>
      <c r="B103" t="s">
        <v>146</v>
      </c>
      <c r="C103">
        <v>1</v>
      </c>
      <c r="D103">
        <v>1.63</v>
      </c>
      <c r="E103" t="s">
        <v>37</v>
      </c>
      <c r="F103" t="s">
        <v>14</v>
      </c>
      <c r="G103" t="s">
        <v>24</v>
      </c>
      <c r="H103" t="s">
        <v>41</v>
      </c>
      <c r="I103" t="s">
        <v>17</v>
      </c>
      <c r="K103">
        <v>15.57</v>
      </c>
      <c r="L103" t="s">
        <v>212</v>
      </c>
      <c r="M103">
        <v>15.57</v>
      </c>
      <c r="P103">
        <v>0</v>
      </c>
      <c r="Q103">
        <v>0</v>
      </c>
    </row>
    <row r="104" spans="1:17" x14ac:dyDescent="0.35">
      <c r="A104" t="s">
        <v>11</v>
      </c>
      <c r="B104" t="s">
        <v>147</v>
      </c>
      <c r="C104">
        <v>1</v>
      </c>
      <c r="D104">
        <v>1.26</v>
      </c>
      <c r="E104" t="s">
        <v>96</v>
      </c>
      <c r="F104" t="s">
        <v>14</v>
      </c>
      <c r="G104" t="s">
        <v>15</v>
      </c>
      <c r="H104" t="s">
        <v>28</v>
      </c>
      <c r="I104" t="s">
        <v>42</v>
      </c>
      <c r="K104">
        <v>3.44</v>
      </c>
      <c r="L104" t="s">
        <v>212</v>
      </c>
      <c r="M104">
        <v>3.44</v>
      </c>
      <c r="P104">
        <v>0</v>
      </c>
      <c r="Q104">
        <v>0</v>
      </c>
    </row>
    <row r="105" spans="1:17" x14ac:dyDescent="0.35">
      <c r="A105" t="s">
        <v>18</v>
      </c>
      <c r="B105" t="s">
        <v>148</v>
      </c>
      <c r="C105">
        <v>1</v>
      </c>
      <c r="D105">
        <v>0.91</v>
      </c>
      <c r="E105" t="s">
        <v>48</v>
      </c>
      <c r="F105" t="s">
        <v>14</v>
      </c>
      <c r="G105" t="s">
        <v>15</v>
      </c>
      <c r="H105" t="s">
        <v>41</v>
      </c>
      <c r="I105" t="s">
        <v>21</v>
      </c>
      <c r="K105">
        <v>7.11</v>
      </c>
      <c r="L105" t="s">
        <v>212</v>
      </c>
      <c r="M105">
        <v>7.11</v>
      </c>
      <c r="P105">
        <v>0</v>
      </c>
      <c r="Q105">
        <v>0</v>
      </c>
    </row>
    <row r="106" spans="1:17" x14ac:dyDescent="0.35">
      <c r="A106" t="s">
        <v>25</v>
      </c>
      <c r="B106" t="s">
        <v>153</v>
      </c>
      <c r="C106">
        <v>2</v>
      </c>
      <c r="D106">
        <v>0.78</v>
      </c>
      <c r="E106" t="s">
        <v>35</v>
      </c>
      <c r="F106" t="s">
        <v>14</v>
      </c>
      <c r="G106" t="s">
        <v>15</v>
      </c>
      <c r="H106" t="s">
        <v>28</v>
      </c>
      <c r="I106" t="s">
        <v>154</v>
      </c>
      <c r="J106" t="s">
        <v>155</v>
      </c>
      <c r="K106">
        <v>77.03</v>
      </c>
      <c r="L106" t="s">
        <v>215</v>
      </c>
      <c r="O106">
        <v>77.03</v>
      </c>
      <c r="P106">
        <v>1</v>
      </c>
      <c r="Q106">
        <v>0</v>
      </c>
    </row>
    <row r="107" spans="1:17" x14ac:dyDescent="0.35">
      <c r="A107" t="s">
        <v>11</v>
      </c>
      <c r="B107" t="s">
        <v>54</v>
      </c>
      <c r="C107">
        <v>2</v>
      </c>
      <c r="D107">
        <v>0.63</v>
      </c>
      <c r="E107" t="s">
        <v>53</v>
      </c>
      <c r="F107" t="s">
        <v>14</v>
      </c>
      <c r="G107" t="s">
        <v>24</v>
      </c>
      <c r="H107" t="s">
        <v>41</v>
      </c>
      <c r="I107" t="s">
        <v>29</v>
      </c>
      <c r="K107">
        <v>10.54</v>
      </c>
      <c r="L107" t="s">
        <v>212</v>
      </c>
      <c r="O107">
        <v>10.54</v>
      </c>
      <c r="P107">
        <v>0</v>
      </c>
      <c r="Q107">
        <v>0</v>
      </c>
    </row>
    <row r="108" spans="1:17" x14ac:dyDescent="0.35">
      <c r="A108" t="s">
        <v>18</v>
      </c>
      <c r="B108" t="s">
        <v>57</v>
      </c>
      <c r="C108">
        <v>2</v>
      </c>
      <c r="D108">
        <v>4.3600000000000003</v>
      </c>
      <c r="E108" t="s">
        <v>32</v>
      </c>
      <c r="F108" t="s">
        <v>14</v>
      </c>
      <c r="G108" t="s">
        <v>15</v>
      </c>
      <c r="H108" t="s">
        <v>16</v>
      </c>
      <c r="I108" t="s">
        <v>21</v>
      </c>
      <c r="K108">
        <v>48.63</v>
      </c>
      <c r="L108" t="s">
        <v>212</v>
      </c>
      <c r="O108">
        <v>48.63</v>
      </c>
      <c r="P108">
        <v>0</v>
      </c>
      <c r="Q108">
        <v>0</v>
      </c>
    </row>
    <row r="109" spans="1:17" x14ac:dyDescent="0.35">
      <c r="A109" t="s">
        <v>11</v>
      </c>
      <c r="B109" t="s">
        <v>59</v>
      </c>
      <c r="C109">
        <v>2</v>
      </c>
      <c r="D109">
        <v>4.0999999999999996</v>
      </c>
      <c r="E109" t="s">
        <v>48</v>
      </c>
      <c r="F109" t="s">
        <v>14</v>
      </c>
      <c r="G109" t="s">
        <v>15</v>
      </c>
      <c r="H109" t="s">
        <v>16</v>
      </c>
      <c r="I109" t="s">
        <v>29</v>
      </c>
      <c r="K109">
        <v>50.65</v>
      </c>
      <c r="L109" t="s">
        <v>212</v>
      </c>
      <c r="O109">
        <v>50.65</v>
      </c>
      <c r="P109">
        <v>0</v>
      </c>
      <c r="Q109">
        <v>0</v>
      </c>
    </row>
    <row r="110" spans="1:17" x14ac:dyDescent="0.35">
      <c r="A110" t="s">
        <v>11</v>
      </c>
      <c r="B110" t="s">
        <v>60</v>
      </c>
      <c r="C110">
        <v>2</v>
      </c>
      <c r="D110">
        <v>1.55</v>
      </c>
      <c r="E110" t="s">
        <v>61</v>
      </c>
      <c r="F110" t="s">
        <v>14</v>
      </c>
      <c r="G110" t="s">
        <v>24</v>
      </c>
      <c r="H110" t="s">
        <v>28</v>
      </c>
      <c r="I110" t="s">
        <v>29</v>
      </c>
      <c r="K110">
        <v>40.729999999999997</v>
      </c>
      <c r="L110" t="s">
        <v>212</v>
      </c>
      <c r="O110">
        <v>40.729999999999997</v>
      </c>
      <c r="P110">
        <v>0</v>
      </c>
      <c r="Q110">
        <v>0</v>
      </c>
    </row>
    <row r="111" spans="1:17" x14ac:dyDescent="0.35">
      <c r="A111" t="s">
        <v>30</v>
      </c>
      <c r="B111" t="s">
        <v>173</v>
      </c>
      <c r="C111">
        <v>2</v>
      </c>
      <c r="D111">
        <v>1.04</v>
      </c>
      <c r="E111" t="s">
        <v>48</v>
      </c>
      <c r="F111" t="s">
        <v>14</v>
      </c>
      <c r="G111" t="s">
        <v>24</v>
      </c>
      <c r="H111" t="s">
        <v>41</v>
      </c>
      <c r="I111" t="s">
        <v>151</v>
      </c>
      <c r="J111" t="s">
        <v>152</v>
      </c>
      <c r="K111">
        <v>114.05</v>
      </c>
      <c r="L111" t="s">
        <v>214</v>
      </c>
      <c r="O111">
        <v>114.05</v>
      </c>
      <c r="P111">
        <v>1</v>
      </c>
      <c r="Q111">
        <v>0</v>
      </c>
    </row>
    <row r="112" spans="1:17" x14ac:dyDescent="0.35">
      <c r="A112" t="s">
        <v>30</v>
      </c>
      <c r="B112" t="s">
        <v>63</v>
      </c>
      <c r="C112">
        <v>2</v>
      </c>
      <c r="D112">
        <v>3.14</v>
      </c>
      <c r="E112" t="s">
        <v>64</v>
      </c>
      <c r="F112" t="s">
        <v>14</v>
      </c>
      <c r="G112" t="s">
        <v>15</v>
      </c>
      <c r="H112" t="s">
        <v>41</v>
      </c>
      <c r="I112" t="s">
        <v>45</v>
      </c>
      <c r="K112">
        <v>31.81</v>
      </c>
      <c r="L112" t="s">
        <v>212</v>
      </c>
      <c r="O112">
        <v>31.81</v>
      </c>
      <c r="P112">
        <v>0</v>
      </c>
      <c r="Q112">
        <v>0</v>
      </c>
    </row>
    <row r="113" spans="1:17" x14ac:dyDescent="0.35">
      <c r="A113" t="s">
        <v>11</v>
      </c>
      <c r="B113" t="s">
        <v>175</v>
      </c>
      <c r="C113">
        <v>2</v>
      </c>
      <c r="D113">
        <v>1.29</v>
      </c>
      <c r="E113" t="s">
        <v>53</v>
      </c>
      <c r="F113" t="s">
        <v>14</v>
      </c>
      <c r="G113" t="s">
        <v>15</v>
      </c>
      <c r="H113" t="s">
        <v>28</v>
      </c>
      <c r="I113" t="s">
        <v>157</v>
      </c>
      <c r="J113" t="s">
        <v>158</v>
      </c>
      <c r="K113">
        <v>176.34</v>
      </c>
      <c r="L113" t="s">
        <v>213</v>
      </c>
      <c r="O113">
        <v>176.34</v>
      </c>
      <c r="P113">
        <v>1</v>
      </c>
      <c r="Q113">
        <v>0</v>
      </c>
    </row>
    <row r="114" spans="1:17" x14ac:dyDescent="0.35">
      <c r="A114" t="s">
        <v>11</v>
      </c>
      <c r="B114" t="s">
        <v>177</v>
      </c>
      <c r="C114">
        <v>2</v>
      </c>
      <c r="D114">
        <v>1.35</v>
      </c>
      <c r="E114" t="s">
        <v>61</v>
      </c>
      <c r="F114" t="s">
        <v>221</v>
      </c>
      <c r="G114" t="s">
        <v>24</v>
      </c>
      <c r="H114" t="s">
        <v>28</v>
      </c>
      <c r="I114" t="s">
        <v>178</v>
      </c>
      <c r="J114" t="s">
        <v>179</v>
      </c>
      <c r="K114">
        <v>71.209999999999994</v>
      </c>
      <c r="L114" t="s">
        <v>213</v>
      </c>
      <c r="O114">
        <v>71.209999999999994</v>
      </c>
      <c r="P114">
        <v>1</v>
      </c>
      <c r="Q114">
        <v>0</v>
      </c>
    </row>
    <row r="115" spans="1:17" x14ac:dyDescent="0.35">
      <c r="A115" t="s">
        <v>25</v>
      </c>
      <c r="B115" t="s">
        <v>69</v>
      </c>
      <c r="C115">
        <v>2</v>
      </c>
      <c r="D115">
        <v>1.84</v>
      </c>
      <c r="E115" t="s">
        <v>70</v>
      </c>
      <c r="F115" t="s">
        <v>14</v>
      </c>
      <c r="G115" t="s">
        <v>24</v>
      </c>
      <c r="H115" t="s">
        <v>28</v>
      </c>
      <c r="I115" t="s">
        <v>49</v>
      </c>
      <c r="K115">
        <v>41.73</v>
      </c>
      <c r="L115" t="s">
        <v>212</v>
      </c>
      <c r="O115">
        <v>41.73</v>
      </c>
      <c r="P115">
        <v>0</v>
      </c>
      <c r="Q115">
        <v>0</v>
      </c>
    </row>
    <row r="116" spans="1:17" x14ac:dyDescent="0.35">
      <c r="A116" t="s">
        <v>18</v>
      </c>
      <c r="B116" t="s">
        <v>181</v>
      </c>
      <c r="C116">
        <v>2</v>
      </c>
      <c r="D116">
        <v>3.72</v>
      </c>
      <c r="E116" t="s">
        <v>64</v>
      </c>
      <c r="F116" t="s">
        <v>14</v>
      </c>
      <c r="G116" t="s">
        <v>24</v>
      </c>
      <c r="H116" t="s">
        <v>41</v>
      </c>
      <c r="I116" t="s">
        <v>166</v>
      </c>
      <c r="J116" t="s">
        <v>167</v>
      </c>
      <c r="K116">
        <v>93.93</v>
      </c>
      <c r="L116" t="s">
        <v>213</v>
      </c>
      <c r="O116">
        <v>93.93</v>
      </c>
      <c r="P116">
        <v>1</v>
      </c>
      <c r="Q116">
        <v>0</v>
      </c>
    </row>
    <row r="117" spans="1:17" x14ac:dyDescent="0.35">
      <c r="A117" t="s">
        <v>25</v>
      </c>
      <c r="B117" t="s">
        <v>182</v>
      </c>
      <c r="C117">
        <v>2</v>
      </c>
      <c r="D117">
        <v>0.51</v>
      </c>
      <c r="E117" t="s">
        <v>56</v>
      </c>
      <c r="F117" t="s">
        <v>14</v>
      </c>
      <c r="G117" t="s">
        <v>15</v>
      </c>
      <c r="H117" t="s">
        <v>41</v>
      </c>
      <c r="I117" t="s">
        <v>154</v>
      </c>
      <c r="J117" t="s">
        <v>155</v>
      </c>
      <c r="K117">
        <v>136.16</v>
      </c>
      <c r="L117" t="s">
        <v>215</v>
      </c>
      <c r="O117">
        <v>136.16</v>
      </c>
      <c r="P117">
        <v>1</v>
      </c>
      <c r="Q117">
        <v>0</v>
      </c>
    </row>
    <row r="118" spans="1:17" x14ac:dyDescent="0.35">
      <c r="A118" t="s">
        <v>25</v>
      </c>
      <c r="B118" t="s">
        <v>183</v>
      </c>
      <c r="C118">
        <v>2</v>
      </c>
      <c r="D118">
        <v>2.33</v>
      </c>
      <c r="E118" t="s">
        <v>64</v>
      </c>
      <c r="F118" t="s">
        <v>14</v>
      </c>
      <c r="G118" t="s">
        <v>24</v>
      </c>
      <c r="H118" t="s">
        <v>41</v>
      </c>
      <c r="I118" t="s">
        <v>151</v>
      </c>
      <c r="J118" t="s">
        <v>152</v>
      </c>
      <c r="K118">
        <v>166.01</v>
      </c>
      <c r="L118" t="s">
        <v>214</v>
      </c>
      <c r="O118">
        <v>166.01</v>
      </c>
      <c r="P118">
        <v>1</v>
      </c>
      <c r="Q118">
        <v>0</v>
      </c>
    </row>
    <row r="119" spans="1:17" x14ac:dyDescent="0.35">
      <c r="A119" t="s">
        <v>25</v>
      </c>
      <c r="B119" t="s">
        <v>73</v>
      </c>
      <c r="C119">
        <v>2</v>
      </c>
      <c r="D119">
        <v>3.99</v>
      </c>
      <c r="E119" t="s">
        <v>74</v>
      </c>
      <c r="F119" t="s">
        <v>14</v>
      </c>
      <c r="G119" t="s">
        <v>24</v>
      </c>
      <c r="H119" t="s">
        <v>28</v>
      </c>
      <c r="I119" t="s">
        <v>33</v>
      </c>
      <c r="K119">
        <v>32.14</v>
      </c>
      <c r="L119" t="s">
        <v>212</v>
      </c>
      <c r="O119">
        <v>32.14</v>
      </c>
      <c r="P119">
        <v>0</v>
      </c>
      <c r="Q119">
        <v>0</v>
      </c>
    </row>
    <row r="120" spans="1:17" x14ac:dyDescent="0.35">
      <c r="A120" t="s">
        <v>11</v>
      </c>
      <c r="B120" t="s">
        <v>78</v>
      </c>
      <c r="C120">
        <v>2</v>
      </c>
      <c r="D120">
        <v>1.33</v>
      </c>
      <c r="E120" t="s">
        <v>79</v>
      </c>
      <c r="F120" t="s">
        <v>14</v>
      </c>
      <c r="G120" t="s">
        <v>24</v>
      </c>
      <c r="H120" t="s">
        <v>16</v>
      </c>
      <c r="I120" t="s">
        <v>42</v>
      </c>
      <c r="K120">
        <v>29.02</v>
      </c>
      <c r="L120" t="s">
        <v>212</v>
      </c>
      <c r="O120">
        <v>29.02</v>
      </c>
      <c r="P120">
        <v>0</v>
      </c>
      <c r="Q120">
        <v>0</v>
      </c>
    </row>
    <row r="121" spans="1:17" x14ac:dyDescent="0.35">
      <c r="A121" t="s">
        <v>18</v>
      </c>
      <c r="B121" t="s">
        <v>186</v>
      </c>
      <c r="C121">
        <v>2</v>
      </c>
      <c r="D121">
        <v>0.59</v>
      </c>
      <c r="E121" t="s">
        <v>56</v>
      </c>
      <c r="F121" t="s">
        <v>14</v>
      </c>
      <c r="G121" t="s">
        <v>24</v>
      </c>
      <c r="H121" t="s">
        <v>41</v>
      </c>
      <c r="I121" t="s">
        <v>166</v>
      </c>
      <c r="J121" t="s">
        <v>167</v>
      </c>
      <c r="K121">
        <v>159.94</v>
      </c>
      <c r="L121" t="s">
        <v>213</v>
      </c>
      <c r="O121">
        <v>159.94</v>
      </c>
      <c r="P121">
        <v>1</v>
      </c>
      <c r="Q121">
        <v>0</v>
      </c>
    </row>
    <row r="122" spans="1:17" x14ac:dyDescent="0.35">
      <c r="A122" t="s">
        <v>18</v>
      </c>
      <c r="B122" t="s">
        <v>187</v>
      </c>
      <c r="C122">
        <v>2</v>
      </c>
      <c r="D122">
        <v>0.33</v>
      </c>
      <c r="E122" t="s">
        <v>51</v>
      </c>
      <c r="F122" t="s">
        <v>14</v>
      </c>
      <c r="G122" t="s">
        <v>24</v>
      </c>
      <c r="H122" t="s">
        <v>28</v>
      </c>
      <c r="I122" t="s">
        <v>157</v>
      </c>
      <c r="J122" t="s">
        <v>158</v>
      </c>
      <c r="K122">
        <v>115.35</v>
      </c>
      <c r="L122" t="s">
        <v>213</v>
      </c>
      <c r="O122">
        <v>115.35</v>
      </c>
      <c r="P122">
        <v>1</v>
      </c>
      <c r="Q122">
        <v>0</v>
      </c>
    </row>
    <row r="123" spans="1:17" x14ac:dyDescent="0.35">
      <c r="A123" t="s">
        <v>25</v>
      </c>
      <c r="B123" t="s">
        <v>83</v>
      </c>
      <c r="C123">
        <v>2</v>
      </c>
      <c r="D123">
        <v>1.33</v>
      </c>
      <c r="E123" t="s">
        <v>56</v>
      </c>
      <c r="F123" t="s">
        <v>14</v>
      </c>
      <c r="G123" t="s">
        <v>24</v>
      </c>
      <c r="H123" t="s">
        <v>16</v>
      </c>
      <c r="I123" t="s">
        <v>49</v>
      </c>
      <c r="K123">
        <v>44.28</v>
      </c>
      <c r="L123" t="s">
        <v>212</v>
      </c>
      <c r="O123">
        <v>44.28</v>
      </c>
      <c r="P123">
        <v>0</v>
      </c>
      <c r="Q123">
        <v>0</v>
      </c>
    </row>
    <row r="124" spans="1:17" x14ac:dyDescent="0.35">
      <c r="A124" t="s">
        <v>30</v>
      </c>
      <c r="B124" t="s">
        <v>86</v>
      </c>
      <c r="C124">
        <v>2</v>
      </c>
      <c r="D124">
        <v>1.61</v>
      </c>
      <c r="E124" t="s">
        <v>56</v>
      </c>
      <c r="F124" t="s">
        <v>14</v>
      </c>
      <c r="G124" t="s">
        <v>24</v>
      </c>
      <c r="H124" t="s">
        <v>16</v>
      </c>
      <c r="I124" t="s">
        <v>29</v>
      </c>
      <c r="K124">
        <v>5.97</v>
      </c>
      <c r="L124" t="s">
        <v>212</v>
      </c>
      <c r="O124">
        <v>5.97</v>
      </c>
      <c r="P124">
        <v>0</v>
      </c>
      <c r="Q124">
        <v>0</v>
      </c>
    </row>
    <row r="125" spans="1:17" x14ac:dyDescent="0.35">
      <c r="A125" t="s">
        <v>11</v>
      </c>
      <c r="B125" t="s">
        <v>91</v>
      </c>
      <c r="C125">
        <v>2</v>
      </c>
      <c r="D125">
        <v>4.16</v>
      </c>
      <c r="E125" t="s">
        <v>23</v>
      </c>
      <c r="F125" t="s">
        <v>14</v>
      </c>
      <c r="G125" t="s">
        <v>24</v>
      </c>
      <c r="H125" t="s">
        <v>28</v>
      </c>
      <c r="I125" t="s">
        <v>92</v>
      </c>
      <c r="K125">
        <v>43.32</v>
      </c>
      <c r="L125" t="s">
        <v>212</v>
      </c>
      <c r="O125">
        <v>43.32</v>
      </c>
      <c r="P125">
        <v>0</v>
      </c>
      <c r="Q125">
        <v>0</v>
      </c>
    </row>
    <row r="126" spans="1:17" x14ac:dyDescent="0.35">
      <c r="A126" t="s">
        <v>18</v>
      </c>
      <c r="B126" t="s">
        <v>95</v>
      </c>
      <c r="C126">
        <v>2</v>
      </c>
      <c r="D126">
        <v>1.1499999999999999</v>
      </c>
      <c r="E126" t="s">
        <v>96</v>
      </c>
      <c r="F126" t="s">
        <v>14</v>
      </c>
      <c r="G126" t="s">
        <v>24</v>
      </c>
      <c r="H126" t="s">
        <v>28</v>
      </c>
      <c r="I126" t="s">
        <v>45</v>
      </c>
      <c r="K126">
        <v>34.68</v>
      </c>
      <c r="L126" t="s">
        <v>212</v>
      </c>
      <c r="O126">
        <v>34.68</v>
      </c>
      <c r="P126">
        <v>0</v>
      </c>
      <c r="Q126">
        <v>0</v>
      </c>
    </row>
    <row r="127" spans="1:17" x14ac:dyDescent="0.35">
      <c r="A127" t="s">
        <v>18</v>
      </c>
      <c r="B127" t="s">
        <v>97</v>
      </c>
      <c r="C127">
        <v>2</v>
      </c>
      <c r="D127">
        <v>4.03</v>
      </c>
      <c r="E127" t="s">
        <v>70</v>
      </c>
      <c r="F127" t="s">
        <v>14</v>
      </c>
      <c r="G127" t="s">
        <v>24</v>
      </c>
      <c r="H127" t="s">
        <v>16</v>
      </c>
      <c r="I127" t="s">
        <v>33</v>
      </c>
      <c r="K127">
        <v>20.45</v>
      </c>
      <c r="L127" t="s">
        <v>212</v>
      </c>
      <c r="O127">
        <v>20.45</v>
      </c>
      <c r="P127">
        <v>0</v>
      </c>
      <c r="Q127">
        <v>0</v>
      </c>
    </row>
    <row r="128" spans="1:17" x14ac:dyDescent="0.35">
      <c r="A128" t="s">
        <v>30</v>
      </c>
      <c r="B128" t="s">
        <v>98</v>
      </c>
      <c r="C128">
        <v>2</v>
      </c>
      <c r="D128">
        <v>2.9</v>
      </c>
      <c r="E128" t="s">
        <v>51</v>
      </c>
      <c r="F128" t="s">
        <v>14</v>
      </c>
      <c r="G128" t="s">
        <v>24</v>
      </c>
      <c r="H128" t="s">
        <v>41</v>
      </c>
      <c r="I128" t="s">
        <v>21</v>
      </c>
      <c r="K128">
        <v>43.06</v>
      </c>
      <c r="L128" t="s">
        <v>212</v>
      </c>
      <c r="O128">
        <v>43.06</v>
      </c>
      <c r="P128">
        <v>0</v>
      </c>
      <c r="Q128">
        <v>0</v>
      </c>
    </row>
    <row r="129" spans="1:17" x14ac:dyDescent="0.35">
      <c r="A129" t="s">
        <v>30</v>
      </c>
      <c r="B129" t="s">
        <v>99</v>
      </c>
      <c r="C129">
        <v>2</v>
      </c>
      <c r="D129">
        <v>1.48</v>
      </c>
      <c r="E129" t="s">
        <v>23</v>
      </c>
      <c r="F129" t="s">
        <v>14</v>
      </c>
      <c r="G129" t="s">
        <v>15</v>
      </c>
      <c r="H129" t="s">
        <v>28</v>
      </c>
      <c r="I129" t="s">
        <v>29</v>
      </c>
      <c r="K129">
        <v>57.2</v>
      </c>
      <c r="L129" t="s">
        <v>212</v>
      </c>
      <c r="O129">
        <v>57.2</v>
      </c>
      <c r="P129">
        <v>0</v>
      </c>
      <c r="Q129">
        <v>0</v>
      </c>
    </row>
    <row r="130" spans="1:17" x14ac:dyDescent="0.35">
      <c r="A130" t="s">
        <v>18</v>
      </c>
      <c r="B130" t="s">
        <v>102</v>
      </c>
      <c r="C130">
        <v>2</v>
      </c>
      <c r="D130">
        <v>1.9</v>
      </c>
      <c r="E130" t="s">
        <v>32</v>
      </c>
      <c r="F130" t="s">
        <v>14</v>
      </c>
      <c r="G130" t="s">
        <v>24</v>
      </c>
      <c r="H130" t="s">
        <v>28</v>
      </c>
      <c r="I130" t="s">
        <v>42</v>
      </c>
      <c r="K130">
        <v>25.84</v>
      </c>
      <c r="L130" t="s">
        <v>212</v>
      </c>
      <c r="O130">
        <v>25.84</v>
      </c>
      <c r="P130">
        <v>0</v>
      </c>
      <c r="Q130">
        <v>0</v>
      </c>
    </row>
    <row r="131" spans="1:17" x14ac:dyDescent="0.35">
      <c r="A131" t="s">
        <v>18</v>
      </c>
      <c r="B131" t="s">
        <v>104</v>
      </c>
      <c r="C131">
        <v>2</v>
      </c>
      <c r="D131">
        <v>2.97</v>
      </c>
      <c r="E131" t="s">
        <v>32</v>
      </c>
      <c r="F131" t="s">
        <v>14</v>
      </c>
      <c r="G131" t="s">
        <v>15</v>
      </c>
      <c r="H131" t="s">
        <v>16</v>
      </c>
      <c r="I131" t="s">
        <v>45</v>
      </c>
      <c r="K131">
        <v>40.64</v>
      </c>
      <c r="L131" t="s">
        <v>212</v>
      </c>
      <c r="O131">
        <v>40.64</v>
      </c>
      <c r="P131">
        <v>0</v>
      </c>
      <c r="Q131">
        <v>0</v>
      </c>
    </row>
    <row r="132" spans="1:17" x14ac:dyDescent="0.35">
      <c r="A132" t="s">
        <v>25</v>
      </c>
      <c r="B132" t="s">
        <v>106</v>
      </c>
      <c r="C132">
        <v>2</v>
      </c>
      <c r="D132">
        <v>3.62</v>
      </c>
      <c r="E132" t="s">
        <v>61</v>
      </c>
      <c r="F132" t="s">
        <v>14</v>
      </c>
      <c r="G132" t="s">
        <v>15</v>
      </c>
      <c r="H132" t="s">
        <v>41</v>
      </c>
      <c r="I132" t="s">
        <v>45</v>
      </c>
      <c r="K132">
        <v>47.91</v>
      </c>
      <c r="L132" t="s">
        <v>212</v>
      </c>
      <c r="O132">
        <v>47.91</v>
      </c>
      <c r="P132">
        <v>0</v>
      </c>
      <c r="Q132">
        <v>0</v>
      </c>
    </row>
    <row r="133" spans="1:17" x14ac:dyDescent="0.35">
      <c r="A133" t="s">
        <v>25</v>
      </c>
      <c r="B133" t="s">
        <v>192</v>
      </c>
      <c r="C133">
        <v>2</v>
      </c>
      <c r="D133">
        <v>0.84</v>
      </c>
      <c r="E133" t="s">
        <v>53</v>
      </c>
      <c r="F133" t="s">
        <v>14</v>
      </c>
      <c r="G133" t="s">
        <v>15</v>
      </c>
      <c r="H133" t="s">
        <v>28</v>
      </c>
      <c r="I133" t="s">
        <v>166</v>
      </c>
      <c r="J133" t="s">
        <v>167</v>
      </c>
      <c r="K133">
        <v>48.35</v>
      </c>
      <c r="L133" t="s">
        <v>213</v>
      </c>
      <c r="O133">
        <v>48.35</v>
      </c>
      <c r="P133">
        <v>1</v>
      </c>
      <c r="Q133">
        <v>0</v>
      </c>
    </row>
    <row r="134" spans="1:17" x14ac:dyDescent="0.35">
      <c r="A134" t="s">
        <v>25</v>
      </c>
      <c r="B134" t="s">
        <v>194</v>
      </c>
      <c r="C134">
        <v>2</v>
      </c>
      <c r="D134">
        <v>2.74</v>
      </c>
      <c r="E134" t="s">
        <v>61</v>
      </c>
      <c r="F134" t="s">
        <v>14</v>
      </c>
      <c r="G134" t="s">
        <v>24</v>
      </c>
      <c r="H134" t="s">
        <v>16</v>
      </c>
      <c r="I134" t="s">
        <v>157</v>
      </c>
      <c r="J134" t="s">
        <v>158</v>
      </c>
      <c r="K134">
        <v>128.87</v>
      </c>
      <c r="L134" t="s">
        <v>213</v>
      </c>
      <c r="O134">
        <v>128.87</v>
      </c>
      <c r="P134">
        <v>1</v>
      </c>
      <c r="Q134">
        <v>0</v>
      </c>
    </row>
    <row r="135" spans="1:17" x14ac:dyDescent="0.35">
      <c r="A135" t="s">
        <v>18</v>
      </c>
      <c r="B135" t="s">
        <v>110</v>
      </c>
      <c r="C135">
        <v>2</v>
      </c>
      <c r="D135">
        <v>3.41</v>
      </c>
      <c r="E135" t="s">
        <v>35</v>
      </c>
      <c r="F135" t="s">
        <v>14</v>
      </c>
      <c r="G135" t="s">
        <v>15</v>
      </c>
      <c r="H135" t="s">
        <v>28</v>
      </c>
      <c r="I135" t="s">
        <v>45</v>
      </c>
      <c r="K135">
        <v>21.43</v>
      </c>
      <c r="L135" t="s">
        <v>212</v>
      </c>
      <c r="O135">
        <v>21.43</v>
      </c>
      <c r="P135">
        <v>0</v>
      </c>
      <c r="Q135">
        <v>0</v>
      </c>
    </row>
    <row r="136" spans="1:17" x14ac:dyDescent="0.35">
      <c r="A136" t="s">
        <v>18</v>
      </c>
      <c r="B136" t="s">
        <v>117</v>
      </c>
      <c r="C136">
        <v>2</v>
      </c>
      <c r="D136">
        <v>4.68</v>
      </c>
      <c r="E136" t="s">
        <v>96</v>
      </c>
      <c r="F136" t="s">
        <v>14</v>
      </c>
      <c r="G136" t="s">
        <v>15</v>
      </c>
      <c r="H136" t="s">
        <v>41</v>
      </c>
      <c r="I136" t="s">
        <v>49</v>
      </c>
      <c r="K136">
        <v>5.49</v>
      </c>
      <c r="L136" t="s">
        <v>212</v>
      </c>
      <c r="O136">
        <v>5.49</v>
      </c>
      <c r="P136">
        <v>0</v>
      </c>
      <c r="Q136">
        <v>0</v>
      </c>
    </row>
    <row r="137" spans="1:17" x14ac:dyDescent="0.35">
      <c r="A137" t="s">
        <v>11</v>
      </c>
      <c r="B137" t="s">
        <v>121</v>
      </c>
      <c r="C137">
        <v>2</v>
      </c>
      <c r="D137">
        <v>1.08</v>
      </c>
      <c r="E137" t="s">
        <v>44</v>
      </c>
      <c r="F137" t="s">
        <v>14</v>
      </c>
      <c r="G137" t="s">
        <v>15</v>
      </c>
      <c r="H137" t="s">
        <v>16</v>
      </c>
      <c r="I137" t="s">
        <v>17</v>
      </c>
      <c r="K137">
        <v>19.72</v>
      </c>
      <c r="L137" t="s">
        <v>212</v>
      </c>
      <c r="O137">
        <v>19.72</v>
      </c>
      <c r="P137">
        <v>0</v>
      </c>
      <c r="Q137">
        <v>0</v>
      </c>
    </row>
    <row r="138" spans="1:17" x14ac:dyDescent="0.35">
      <c r="A138" t="s">
        <v>30</v>
      </c>
      <c r="B138" t="s">
        <v>122</v>
      </c>
      <c r="C138">
        <v>2</v>
      </c>
      <c r="D138">
        <v>0.98</v>
      </c>
      <c r="E138" t="s">
        <v>79</v>
      </c>
      <c r="F138" t="s">
        <v>14</v>
      </c>
      <c r="G138" t="s">
        <v>24</v>
      </c>
      <c r="H138" t="s">
        <v>41</v>
      </c>
      <c r="I138" t="s">
        <v>38</v>
      </c>
      <c r="K138">
        <v>12.69</v>
      </c>
      <c r="L138" t="s">
        <v>212</v>
      </c>
      <c r="O138">
        <v>12.69</v>
      </c>
      <c r="P138">
        <v>0</v>
      </c>
      <c r="Q138">
        <v>0</v>
      </c>
    </row>
    <row r="139" spans="1:17" x14ac:dyDescent="0.35">
      <c r="A139" t="s">
        <v>30</v>
      </c>
      <c r="B139" t="s">
        <v>123</v>
      </c>
      <c r="C139">
        <v>2</v>
      </c>
      <c r="D139">
        <v>1.5</v>
      </c>
      <c r="E139" t="s">
        <v>13</v>
      </c>
      <c r="F139" t="s">
        <v>14</v>
      </c>
      <c r="G139" t="s">
        <v>24</v>
      </c>
      <c r="H139" t="s">
        <v>28</v>
      </c>
      <c r="I139" t="s">
        <v>38</v>
      </c>
      <c r="K139">
        <v>7.21</v>
      </c>
      <c r="L139" t="s">
        <v>212</v>
      </c>
      <c r="O139">
        <v>7.21</v>
      </c>
      <c r="P139">
        <v>0</v>
      </c>
      <c r="Q139">
        <v>0</v>
      </c>
    </row>
    <row r="140" spans="1:17" x14ac:dyDescent="0.35">
      <c r="A140" t="s">
        <v>18</v>
      </c>
      <c r="B140" t="s">
        <v>200</v>
      </c>
      <c r="C140">
        <v>2</v>
      </c>
      <c r="D140">
        <v>0.34</v>
      </c>
      <c r="E140" t="s">
        <v>32</v>
      </c>
      <c r="F140" t="s">
        <v>14</v>
      </c>
      <c r="G140" t="s">
        <v>24</v>
      </c>
      <c r="H140" t="s">
        <v>28</v>
      </c>
      <c r="I140" t="s">
        <v>178</v>
      </c>
      <c r="J140" t="s">
        <v>179</v>
      </c>
      <c r="K140">
        <v>124.99</v>
      </c>
      <c r="L140" t="s">
        <v>213</v>
      </c>
      <c r="O140">
        <v>124.99</v>
      </c>
      <c r="P140">
        <v>1</v>
      </c>
      <c r="Q140">
        <v>0</v>
      </c>
    </row>
    <row r="141" spans="1:17" x14ac:dyDescent="0.35">
      <c r="A141" t="s">
        <v>11</v>
      </c>
      <c r="B141" t="s">
        <v>126</v>
      </c>
      <c r="C141">
        <v>2</v>
      </c>
      <c r="D141">
        <v>1.84</v>
      </c>
      <c r="E141" t="s">
        <v>56</v>
      </c>
      <c r="F141" t="s">
        <v>14</v>
      </c>
      <c r="G141" t="s">
        <v>15</v>
      </c>
      <c r="H141" t="s">
        <v>16</v>
      </c>
      <c r="I141" t="s">
        <v>29</v>
      </c>
      <c r="K141">
        <v>52.96</v>
      </c>
      <c r="L141" t="s">
        <v>212</v>
      </c>
      <c r="O141">
        <v>52.96</v>
      </c>
      <c r="P141">
        <v>0</v>
      </c>
      <c r="Q141">
        <v>0</v>
      </c>
    </row>
    <row r="142" spans="1:17" x14ac:dyDescent="0.35">
      <c r="A142" t="s">
        <v>18</v>
      </c>
      <c r="B142" t="s">
        <v>203</v>
      </c>
      <c r="C142">
        <v>2</v>
      </c>
      <c r="D142">
        <v>3.45</v>
      </c>
      <c r="E142" t="s">
        <v>48</v>
      </c>
      <c r="F142" t="s">
        <v>14</v>
      </c>
      <c r="G142" t="s">
        <v>24</v>
      </c>
      <c r="H142" t="s">
        <v>41</v>
      </c>
      <c r="I142" t="s">
        <v>178</v>
      </c>
      <c r="J142" t="s">
        <v>179</v>
      </c>
      <c r="K142">
        <v>163.96</v>
      </c>
      <c r="L142" t="s">
        <v>213</v>
      </c>
      <c r="O142">
        <v>163.96</v>
      </c>
      <c r="P142">
        <v>1</v>
      </c>
      <c r="Q142">
        <v>0</v>
      </c>
    </row>
    <row r="143" spans="1:17" x14ac:dyDescent="0.35">
      <c r="A143" t="s">
        <v>11</v>
      </c>
      <c r="B143" t="s">
        <v>132</v>
      </c>
      <c r="C143">
        <v>2</v>
      </c>
      <c r="D143">
        <v>3.19</v>
      </c>
      <c r="E143" t="s">
        <v>20</v>
      </c>
      <c r="F143" t="s">
        <v>14</v>
      </c>
      <c r="G143" t="s">
        <v>15</v>
      </c>
      <c r="H143" t="s">
        <v>41</v>
      </c>
      <c r="I143" t="s">
        <v>92</v>
      </c>
      <c r="K143">
        <v>28.35</v>
      </c>
      <c r="L143" t="s">
        <v>212</v>
      </c>
      <c r="O143">
        <v>28.35</v>
      </c>
      <c r="P143">
        <v>0</v>
      </c>
      <c r="Q143">
        <v>0</v>
      </c>
    </row>
    <row r="144" spans="1:17" x14ac:dyDescent="0.35">
      <c r="A144" t="s">
        <v>25</v>
      </c>
      <c r="B144" t="s">
        <v>133</v>
      </c>
      <c r="C144">
        <v>2</v>
      </c>
      <c r="D144">
        <v>0.77</v>
      </c>
      <c r="E144" t="s">
        <v>51</v>
      </c>
      <c r="F144" t="s">
        <v>14</v>
      </c>
      <c r="G144" t="s">
        <v>24</v>
      </c>
      <c r="H144" t="s">
        <v>16</v>
      </c>
      <c r="I144" t="s">
        <v>33</v>
      </c>
      <c r="K144">
        <v>58.19</v>
      </c>
      <c r="L144" t="s">
        <v>212</v>
      </c>
      <c r="O144">
        <v>58.19</v>
      </c>
      <c r="P144">
        <v>0</v>
      </c>
      <c r="Q144">
        <v>0</v>
      </c>
    </row>
    <row r="145" spans="1:17" x14ac:dyDescent="0.35">
      <c r="A145" t="s">
        <v>25</v>
      </c>
      <c r="B145" t="s">
        <v>208</v>
      </c>
      <c r="C145">
        <v>2</v>
      </c>
      <c r="D145">
        <v>2.42</v>
      </c>
      <c r="E145" t="s">
        <v>53</v>
      </c>
      <c r="F145" t="s">
        <v>14</v>
      </c>
      <c r="G145" t="s">
        <v>24</v>
      </c>
      <c r="H145" t="s">
        <v>28</v>
      </c>
      <c r="I145" t="s">
        <v>157</v>
      </c>
      <c r="J145" t="s">
        <v>158</v>
      </c>
      <c r="K145">
        <v>98.24</v>
      </c>
      <c r="L145" t="s">
        <v>213</v>
      </c>
      <c r="O145">
        <v>98.24</v>
      </c>
      <c r="P145">
        <v>1</v>
      </c>
      <c r="Q145">
        <v>0</v>
      </c>
    </row>
    <row r="146" spans="1:17" x14ac:dyDescent="0.35">
      <c r="A146" t="s">
        <v>11</v>
      </c>
      <c r="B146" t="s">
        <v>139</v>
      </c>
      <c r="C146">
        <v>2</v>
      </c>
      <c r="D146">
        <v>2.31</v>
      </c>
      <c r="E146" t="s">
        <v>20</v>
      </c>
      <c r="F146" t="s">
        <v>14</v>
      </c>
      <c r="G146" t="s">
        <v>24</v>
      </c>
      <c r="H146" t="s">
        <v>16</v>
      </c>
      <c r="I146" t="s">
        <v>92</v>
      </c>
      <c r="K146">
        <v>6.83</v>
      </c>
      <c r="L146" t="s">
        <v>212</v>
      </c>
      <c r="O146">
        <v>6.83</v>
      </c>
      <c r="P146">
        <v>0</v>
      </c>
      <c r="Q146">
        <v>0</v>
      </c>
    </row>
    <row r="147" spans="1:17" x14ac:dyDescent="0.35">
      <c r="A147" t="s">
        <v>11</v>
      </c>
      <c r="B147" t="s">
        <v>141</v>
      </c>
      <c r="C147">
        <v>2</v>
      </c>
      <c r="D147">
        <v>1.96</v>
      </c>
      <c r="E147" t="s">
        <v>56</v>
      </c>
      <c r="F147" t="s">
        <v>14</v>
      </c>
      <c r="G147" t="s">
        <v>15</v>
      </c>
      <c r="H147" t="s">
        <v>28</v>
      </c>
      <c r="I147" t="s">
        <v>21</v>
      </c>
      <c r="K147">
        <v>8.91</v>
      </c>
      <c r="L147" t="s">
        <v>212</v>
      </c>
      <c r="O147">
        <v>8.91</v>
      </c>
      <c r="P147">
        <v>0</v>
      </c>
      <c r="Q147">
        <v>0</v>
      </c>
    </row>
    <row r="148" spans="1:17" x14ac:dyDescent="0.35">
      <c r="A148" t="s">
        <v>25</v>
      </c>
      <c r="B148" t="s">
        <v>142</v>
      </c>
      <c r="C148">
        <v>2</v>
      </c>
      <c r="D148">
        <v>3.6</v>
      </c>
      <c r="E148" t="s">
        <v>44</v>
      </c>
      <c r="F148" t="s">
        <v>14</v>
      </c>
      <c r="G148" t="s">
        <v>24</v>
      </c>
      <c r="H148" t="s">
        <v>28</v>
      </c>
      <c r="I148" t="s">
        <v>38</v>
      </c>
      <c r="K148">
        <v>35.28</v>
      </c>
      <c r="L148" t="s">
        <v>212</v>
      </c>
      <c r="O148">
        <v>35.28</v>
      </c>
      <c r="P148">
        <v>0</v>
      </c>
      <c r="Q148">
        <v>0</v>
      </c>
    </row>
    <row r="149" spans="1:17" x14ac:dyDescent="0.35">
      <c r="A149" t="s">
        <v>30</v>
      </c>
      <c r="B149" t="s">
        <v>145</v>
      </c>
      <c r="C149">
        <v>2</v>
      </c>
      <c r="D149">
        <v>3.41</v>
      </c>
      <c r="E149" t="s">
        <v>77</v>
      </c>
      <c r="F149" t="s">
        <v>14</v>
      </c>
      <c r="G149" t="s">
        <v>24</v>
      </c>
      <c r="H149" t="s">
        <v>28</v>
      </c>
      <c r="I149" t="s">
        <v>29</v>
      </c>
      <c r="K149">
        <v>9.49</v>
      </c>
      <c r="L149" t="s">
        <v>212</v>
      </c>
      <c r="O149">
        <v>9.49</v>
      </c>
      <c r="P149">
        <v>0</v>
      </c>
      <c r="Q149">
        <v>0</v>
      </c>
    </row>
    <row r="150" spans="1:17" x14ac:dyDescent="0.35">
      <c r="A150" t="s">
        <v>11</v>
      </c>
      <c r="B150" t="s">
        <v>149</v>
      </c>
      <c r="C150">
        <v>2</v>
      </c>
      <c r="D150">
        <v>0.39</v>
      </c>
      <c r="E150" t="s">
        <v>70</v>
      </c>
      <c r="F150" t="s">
        <v>14</v>
      </c>
      <c r="G150" t="s">
        <v>24</v>
      </c>
      <c r="H150" t="s">
        <v>41</v>
      </c>
      <c r="I150" t="s">
        <v>49</v>
      </c>
      <c r="K150">
        <v>43.44</v>
      </c>
      <c r="L150" t="s">
        <v>212</v>
      </c>
      <c r="O150">
        <v>43.44</v>
      </c>
      <c r="P150">
        <v>0</v>
      </c>
      <c r="Q150">
        <v>0</v>
      </c>
    </row>
    <row r="151" spans="1:17" x14ac:dyDescent="0.35">
      <c r="A151" t="s">
        <v>18</v>
      </c>
      <c r="B151" t="s">
        <v>211</v>
      </c>
      <c r="C151">
        <v>2</v>
      </c>
      <c r="D151">
        <v>0.84</v>
      </c>
      <c r="E151" t="s">
        <v>13</v>
      </c>
      <c r="F151" t="s">
        <v>14</v>
      </c>
      <c r="G151" t="s">
        <v>24</v>
      </c>
      <c r="H151" t="s">
        <v>16</v>
      </c>
      <c r="I151" t="s">
        <v>154</v>
      </c>
      <c r="J151" t="s">
        <v>155</v>
      </c>
      <c r="K151">
        <v>104.41</v>
      </c>
      <c r="L151" t="s">
        <v>215</v>
      </c>
      <c r="O151">
        <v>104.41</v>
      </c>
      <c r="P151">
        <v>1</v>
      </c>
      <c r="Q15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0A47-D74E-4EFF-A469-AC627EB07B2B}">
  <dimension ref="A1:H23"/>
  <sheetViews>
    <sheetView workbookViewId="0">
      <selection activeCell="D7" sqref="D7"/>
    </sheetView>
  </sheetViews>
  <sheetFormatPr defaultRowHeight="14.5" x14ac:dyDescent="0.35"/>
  <cols>
    <col min="1" max="1" width="22.1796875" bestFit="1" customWidth="1"/>
    <col min="2" max="2" width="16.453125" bestFit="1" customWidth="1"/>
    <col min="3" max="3" width="8.08984375" bestFit="1" customWidth="1"/>
    <col min="4" max="5" width="12.6328125" bestFit="1" customWidth="1"/>
    <col min="6" max="6" width="20.81640625" bestFit="1" customWidth="1"/>
    <col min="7" max="8" width="17.7265625" bestFit="1" customWidth="1"/>
    <col min="9" max="10" width="10.54296875" bestFit="1" customWidth="1"/>
    <col min="11" max="148" width="15.26953125" bestFit="1" customWidth="1"/>
    <col min="149" max="149" width="10.7265625" bestFit="1" customWidth="1"/>
  </cols>
  <sheetData>
    <row r="1" spans="1:8" x14ac:dyDescent="0.35">
      <c r="A1" s="1" t="s">
        <v>225</v>
      </c>
      <c r="B1">
        <v>150</v>
      </c>
    </row>
    <row r="2" spans="1:8" x14ac:dyDescent="0.35">
      <c r="A2" s="1" t="s">
        <v>226</v>
      </c>
      <c r="B2">
        <v>57</v>
      </c>
    </row>
    <row r="3" spans="1:8" x14ac:dyDescent="0.35">
      <c r="A3" s="1" t="s">
        <v>227</v>
      </c>
      <c r="B3">
        <v>93</v>
      </c>
    </row>
    <row r="4" spans="1:8" x14ac:dyDescent="0.35">
      <c r="A4" s="1" t="s">
        <v>228</v>
      </c>
      <c r="B4">
        <v>351.78</v>
      </c>
    </row>
    <row r="5" spans="1:8" x14ac:dyDescent="0.35">
      <c r="A5" s="1" t="s">
        <v>229</v>
      </c>
      <c r="B5">
        <v>8472.75</v>
      </c>
    </row>
    <row r="6" spans="1:8" x14ac:dyDescent="0.35">
      <c r="A6" s="1" t="s">
        <v>230</v>
      </c>
      <c r="B6">
        <v>20</v>
      </c>
    </row>
    <row r="7" spans="1:8" x14ac:dyDescent="0.35">
      <c r="A7" s="1" t="s">
        <v>231</v>
      </c>
      <c r="B7">
        <v>3</v>
      </c>
    </row>
    <row r="8" spans="1:8" x14ac:dyDescent="0.35">
      <c r="A8" s="1" t="s">
        <v>232</v>
      </c>
      <c r="B8">
        <v>2</v>
      </c>
    </row>
    <row r="9" spans="1:8" x14ac:dyDescent="0.35">
      <c r="A9" s="1" t="s">
        <v>233</v>
      </c>
      <c r="B9">
        <v>2</v>
      </c>
    </row>
    <row r="12" spans="1:8" x14ac:dyDescent="0.35">
      <c r="A12" s="3" t="s">
        <v>219</v>
      </c>
      <c r="B12" t="s" vm="1">
        <v>235</v>
      </c>
    </row>
    <row r="14" spans="1:8" x14ac:dyDescent="0.35">
      <c r="A14" s="3" t="s">
        <v>1</v>
      </c>
      <c r="B14" s="3" t="s">
        <v>0</v>
      </c>
      <c r="C14" s="3" t="s">
        <v>218</v>
      </c>
      <c r="D14" s="3" t="s">
        <v>8</v>
      </c>
      <c r="E14" s="3" t="s">
        <v>4</v>
      </c>
      <c r="F14" s="3" t="s">
        <v>7</v>
      </c>
      <c r="G14" s="3" t="s">
        <v>3</v>
      </c>
      <c r="H14" s="3" t="s">
        <v>10</v>
      </c>
    </row>
    <row r="15" spans="1:8" x14ac:dyDescent="0.35">
      <c r="A15" t="s">
        <v>150</v>
      </c>
      <c r="B15" t="s">
        <v>11</v>
      </c>
      <c r="C15" t="s">
        <v>214</v>
      </c>
      <c r="D15" t="s">
        <v>151</v>
      </c>
      <c r="E15" t="s">
        <v>53</v>
      </c>
      <c r="F15" t="s">
        <v>16</v>
      </c>
      <c r="G15">
        <v>3.79</v>
      </c>
      <c r="H15">
        <v>143.69</v>
      </c>
    </row>
    <row r="16" spans="1:8" x14ac:dyDescent="0.35">
      <c r="A16" t="s">
        <v>165</v>
      </c>
      <c r="B16" t="s">
        <v>11</v>
      </c>
      <c r="C16" t="s">
        <v>213</v>
      </c>
      <c r="D16" t="s">
        <v>166</v>
      </c>
      <c r="E16" t="s">
        <v>77</v>
      </c>
      <c r="F16" t="s">
        <v>16</v>
      </c>
      <c r="G16">
        <v>1.08</v>
      </c>
      <c r="H16">
        <v>63.05</v>
      </c>
    </row>
    <row r="21" spans="1:6" x14ac:dyDescent="0.35">
      <c r="A21" s="3" t="s">
        <v>1</v>
      </c>
      <c r="B21" s="3" t="s">
        <v>5</v>
      </c>
      <c r="C21" s="3" t="s">
        <v>0</v>
      </c>
      <c r="D21" s="3" t="s">
        <v>218</v>
      </c>
      <c r="E21" s="3" t="s">
        <v>8</v>
      </c>
      <c r="F21" s="3" t="s">
        <v>10</v>
      </c>
    </row>
    <row r="22" spans="1:6" x14ac:dyDescent="0.35">
      <c r="A22" t="s">
        <v>31</v>
      </c>
      <c r="B22" t="s">
        <v>220</v>
      </c>
      <c r="C22" t="s">
        <v>30</v>
      </c>
      <c r="D22" t="s">
        <v>212</v>
      </c>
      <c r="E22" t="s">
        <v>33</v>
      </c>
      <c r="F22">
        <v>55.05</v>
      </c>
    </row>
    <row r="23" spans="1:6" x14ac:dyDescent="0.35">
      <c r="A23" t="s">
        <v>177</v>
      </c>
      <c r="B23" t="s">
        <v>221</v>
      </c>
      <c r="C23" t="s">
        <v>11</v>
      </c>
      <c r="D23" t="s">
        <v>213</v>
      </c>
      <c r="E23" t="s">
        <v>178</v>
      </c>
      <c r="F23">
        <v>71.209999999999994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98880954-8BAE-47D7-85F2-CEECAF92F563}">
  <ds:schemaRefs/>
</ds:datastoreItem>
</file>

<file path=customXml/itemProps2.xml><?xml version="1.0" encoding="utf-8"?>
<ds:datastoreItem xmlns:ds="http://schemas.openxmlformats.org/officeDocument/2006/customXml" ds:itemID="{2A5AE02D-5D7C-4133-86EB-115FCD00EEAC}">
  <ds:schemaRefs/>
</ds:datastoreItem>
</file>

<file path=customXml/itemProps3.xml><?xml version="1.0" encoding="utf-8"?>
<ds:datastoreItem xmlns:ds="http://schemas.openxmlformats.org/officeDocument/2006/customXml" ds:itemID="{71E388AC-81DD-43E5-87D5-9D0C2414E250}">
  <ds:schemaRefs/>
</ds:datastoreItem>
</file>

<file path=customXml/itemProps4.xml><?xml version="1.0" encoding="utf-8"?>
<ds:datastoreItem xmlns:ds="http://schemas.openxmlformats.org/officeDocument/2006/customXml" ds:itemID="{F7FCEF4A-98C0-4763-958C-ED0FBEC66B2E}">
  <ds:schemaRefs/>
</ds:datastoreItem>
</file>

<file path=customXml/itemProps5.xml><?xml version="1.0" encoding="utf-8"?>
<ds:datastoreItem xmlns:ds="http://schemas.openxmlformats.org/officeDocument/2006/customXml" ds:itemID="{73A11A3B-5ECA-45A5-B45A-45D72895A301}">
  <ds:schemaRefs/>
</ds:datastoreItem>
</file>

<file path=customXml/itemProps6.xml><?xml version="1.0" encoding="utf-8"?>
<ds:datastoreItem xmlns:ds="http://schemas.openxmlformats.org/officeDocument/2006/customXml" ds:itemID="{314CA3CB-53CF-4D7D-862D-56C85814C40A}">
  <ds:schemaRefs/>
</ds:datastoreItem>
</file>

<file path=customXml/itemProps7.xml><?xml version="1.0" encoding="utf-8"?>
<ds:datastoreItem xmlns:ds="http://schemas.openxmlformats.org/officeDocument/2006/customXml" ds:itemID="{AE24ABC3-A6AD-47CD-A5E0-1C9D552E0036}">
  <ds:schemaRefs/>
</ds:datastoreItem>
</file>

<file path=customXml/itemProps8.xml><?xml version="1.0" encoding="utf-8"?>
<ds:datastoreItem xmlns:ds="http://schemas.openxmlformats.org/officeDocument/2006/customXml" ds:itemID="{78371C8C-5549-487F-B63A-4C6645E1BA11}">
  <ds:schemaRefs/>
</ds:datastoreItem>
</file>

<file path=customXml/itemProps9.xml><?xml version="1.0" encoding="utf-8"?>
<ds:datastoreItem xmlns:ds="http://schemas.openxmlformats.org/officeDocument/2006/customXml" ds:itemID="{669970D5-6E48-4C1B-8B53-12565D8C94E5}">
  <ds:schemaRefs/>
</ds:datastoreItem>
</file>

<file path=customXml/itemProps10.xml><?xml version="1.0" encoding="utf-8"?>
<ds:datastoreItem xmlns:ds="http://schemas.openxmlformats.org/officeDocument/2006/customXml" ds:itemID="{96CABE32-500F-4AB1-9989-F2D8C6E5A3F8}">
  <ds:schemaRefs/>
</ds:datastoreItem>
</file>

<file path=customXml/itemProps11.xml><?xml version="1.0" encoding="utf-8"?>
<ds:datastoreItem xmlns:ds="http://schemas.openxmlformats.org/officeDocument/2006/customXml" ds:itemID="{C599F12A-171C-4CA2-8A4C-A22A30BC5178}">
  <ds:schemaRefs/>
</ds:datastoreItem>
</file>

<file path=customXml/itemProps12.xml><?xml version="1.0" encoding="utf-8"?>
<ds:datastoreItem xmlns:ds="http://schemas.openxmlformats.org/officeDocument/2006/customXml" ds:itemID="{59F0698C-B5F3-4AED-BBBE-506F49FBD64A}">
  <ds:schemaRefs/>
</ds:datastoreItem>
</file>

<file path=customXml/itemProps13.xml><?xml version="1.0" encoding="utf-8"?>
<ds:datastoreItem xmlns:ds="http://schemas.openxmlformats.org/officeDocument/2006/customXml" ds:itemID="{2C593259-E2CE-44FF-B7F6-BEF2DF9DF3C3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734044C5-B43C-4037-A09E-0C6B9FA41A3C}">
  <ds:schemaRefs/>
</ds:datastoreItem>
</file>

<file path=customXml/itemProps15.xml><?xml version="1.0" encoding="utf-8"?>
<ds:datastoreItem xmlns:ds="http://schemas.openxmlformats.org/officeDocument/2006/customXml" ds:itemID="{B6185F49-390C-4DBB-A4E4-FF195F0CAB70}">
  <ds:schemaRefs/>
</ds:datastoreItem>
</file>

<file path=customXml/itemProps16.xml><?xml version="1.0" encoding="utf-8"?>
<ds:datastoreItem xmlns:ds="http://schemas.openxmlformats.org/officeDocument/2006/customXml" ds:itemID="{8B002E6A-EC0F-4B9D-A578-A5A73B19734A}">
  <ds:schemaRefs/>
</ds:datastoreItem>
</file>

<file path=customXml/itemProps17.xml><?xml version="1.0" encoding="utf-8"?>
<ds:datastoreItem xmlns:ds="http://schemas.openxmlformats.org/officeDocument/2006/customXml" ds:itemID="{347232D1-450C-44A3-BD47-A5B9F69AFC67}">
  <ds:schemaRefs/>
</ds:datastoreItem>
</file>

<file path=customXml/itemProps18.xml><?xml version="1.0" encoding="utf-8"?>
<ds:datastoreItem xmlns:ds="http://schemas.openxmlformats.org/officeDocument/2006/customXml" ds:itemID="{969F27B3-68D3-4D31-886F-49CBCE4A8349}">
  <ds:schemaRefs/>
</ds:datastoreItem>
</file>

<file path=customXml/itemProps19.xml><?xml version="1.0" encoding="utf-8"?>
<ds:datastoreItem xmlns:ds="http://schemas.openxmlformats.org/officeDocument/2006/customXml" ds:itemID="{3384C446-C34D-4E72-BFA8-422DC61C68E9}">
  <ds:schemaRefs/>
</ds:datastoreItem>
</file>

<file path=customXml/itemProps20.xml><?xml version="1.0" encoding="utf-8"?>
<ds:datastoreItem xmlns:ds="http://schemas.openxmlformats.org/officeDocument/2006/customXml" ds:itemID="{FA23C640-C357-418F-83AF-BE502586756E}">
  <ds:schemaRefs/>
</ds:datastoreItem>
</file>

<file path=customXml/itemProps21.xml><?xml version="1.0" encoding="utf-8"?>
<ds:datastoreItem xmlns:ds="http://schemas.openxmlformats.org/officeDocument/2006/customXml" ds:itemID="{28E89EE6-2902-42CE-B951-1492FF3B941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Dashboard</vt:lpstr>
      <vt:lpstr>Table1</vt:lpstr>
      <vt:lpstr>Pivot_Data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Chamudi Senevirathna</dc:creator>
  <cp:lastModifiedBy>Chamudi Senevirathna</cp:lastModifiedBy>
  <cp:lastPrinted>2025-12-30T09:33:51Z</cp:lastPrinted>
  <dcterms:created xsi:type="dcterms:W3CDTF">2015-06-05T18:17:20Z</dcterms:created>
  <dcterms:modified xsi:type="dcterms:W3CDTF">2025-12-30T09:59:14Z</dcterms:modified>
</cp:coreProperties>
</file>